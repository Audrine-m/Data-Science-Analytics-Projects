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4.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5.xml" ContentType="application/vnd.openxmlformats-officedocument.spreadsheetml.pivotTable+xml"/>
  <Override PartName="/xl/drawings/drawing1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8.xml" ContentType="application/vnd.openxmlformats-officedocument.spreadsheetml.pivotTable+xml"/>
  <Override PartName="/xl/drawings/drawing1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9.xml" ContentType="application/vnd.openxmlformats-officedocument.spreadsheetml.pivotTable+xml"/>
  <Override PartName="/xl/drawings/drawing17.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LuqDevHq\"/>
    </mc:Choice>
  </mc:AlternateContent>
  <xr:revisionPtr revIDLastSave="0" documentId="13_ncr:1_{60F10504-6FEA-40B2-8411-301064DF6C1E}" xr6:coauthVersionLast="47" xr6:coauthVersionMax="47" xr10:uidLastSave="{00000000-0000-0000-0000-000000000000}"/>
  <bookViews>
    <workbookView xWindow="-110" yWindow="-110" windowWidth="19420" windowHeight="11500" xr2:uid="{00000000-000D-0000-FFFF-FFFF00000000}"/>
  </bookViews>
  <sheets>
    <sheet name="Dashboard" sheetId="9" r:id="rId1"/>
    <sheet name="Excel_jumia_Final" sheetId="1" r:id="rId2"/>
    <sheet name="ProductsRating" sheetId="17" r:id="rId3"/>
    <sheet name="Avrg Rating &amp; Discount" sheetId="3" r:id="rId4"/>
    <sheet name="Avrg price,rating&amp;Discount" sheetId="4" r:id="rId5"/>
    <sheet name="MaxMin " sheetId="5" r:id="rId6"/>
    <sheet name="DistributionAcrossRatingCtgry" sheetId="6" r:id="rId7"/>
    <sheet name="Sheet9" sheetId="10" r:id="rId8"/>
    <sheet name="Sheet10" sheetId="11" r:id="rId9"/>
    <sheet name="Sheet12" sheetId="13" r:id="rId10"/>
    <sheet name="Sheet13" sheetId="14" r:id="rId11"/>
    <sheet name="Sheet14" sheetId="15" r:id="rId12"/>
    <sheet name="Sheet15" sheetId="16" r:id="rId13"/>
    <sheet name="ProductsReview" sheetId="18" r:id="rId14"/>
    <sheet name="Rating vs Review" sheetId="23" r:id="rId15"/>
    <sheet name="Sheet23" sheetId="24" r:id="rId16"/>
    <sheet name="Product by Rating" sheetId="25" r:id="rId17"/>
    <sheet name="Sheet25" sheetId="26" r:id="rId18"/>
    <sheet name="Sheet20" sheetId="21" r:id="rId19"/>
    <sheet name="Sheet11" sheetId="12" r:id="rId20"/>
    <sheet name="ProductByDiscount" sheetId="22" r:id="rId21"/>
    <sheet name="ProductbyDiscountCategory" sheetId="27" r:id="rId22"/>
    <sheet name="Excel_jumia_Cleaned_Data" sheetId="2" r:id="rId23"/>
    <sheet name="No. of Products" sheetId="28" r:id="rId24"/>
    <sheet name="Avrg Rating" sheetId="29" r:id="rId25"/>
    <sheet name="Avrg Discount%" sheetId="30" r:id="rId26"/>
    <sheet name="No. of Reviews" sheetId="31" r:id="rId27"/>
    <sheet name="TopProdyctbyRating" sheetId="33" r:id="rId28"/>
    <sheet name="Top Product by review" sheetId="34" r:id="rId29"/>
    <sheet name="TopDiscountProduct" sheetId="35" r:id="rId30"/>
    <sheet name="Discount Vs Reviews" sheetId="36" r:id="rId31"/>
    <sheet name="Products by RatingCategory" sheetId="37" r:id="rId32"/>
    <sheet name="ProductsbyDiscountCaregory" sheetId="38" r:id="rId33"/>
    <sheet name="Slicers" sheetId="39" r:id="rId34"/>
  </sheets>
  <definedNames>
    <definedName name="_xlnm._FilterDatabase" localSheetId="22" hidden="1">Excel_jumia_Cleaned_Data!$A$1:$I$110</definedName>
    <definedName name="Slicer_Discount_Category">#N/A</definedName>
    <definedName name="Slicer_Product">#N/A</definedName>
    <definedName name="Slicer_Rating_Category">#N/A</definedName>
  </definedNames>
  <calcPr calcId="191029"/>
  <pivotCaches>
    <pivotCache cacheId="0" r:id="rId35"/>
    <pivotCache cacheId="1" r:id="rId36"/>
    <pivotCache cacheId="2" r:id="rId37"/>
    <pivotCache cacheId="3" r:id="rId38"/>
    <pivotCache cacheId="4" r:id="rId39"/>
    <pivotCache cacheId="21" r:id="rId40"/>
  </pivotCaches>
  <extLst>
    <ext xmlns:x14="http://schemas.microsoft.com/office/spreadsheetml/2009/9/main" uri="{BBE1A952-AA13-448e-AADC-164F8A28A991}">
      <x14:slicerCaches>
        <x14:slicerCache r:id="rId41"/>
        <x14:slicerCache r:id="rId42"/>
        <x14:slicerCache r:id="rId4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2" i="1"/>
  <c r="M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2" i="1"/>
  <c r="L2" i="2"/>
  <c r="L3" i="2"/>
  <c r="L113" i="1"/>
  <c r="K113" i="1"/>
  <c r="J113" i="1"/>
  <c r="I113" i="1"/>
  <c r="H113" i="1"/>
  <c r="G113" i="1"/>
  <c r="L112" i="1"/>
  <c r="K112" i="1"/>
  <c r="J112" i="1"/>
  <c r="I112" i="1"/>
  <c r="H112" i="1"/>
  <c r="G112" i="1"/>
  <c r="L111" i="1"/>
  <c r="K111" i="1"/>
  <c r="J111" i="1"/>
  <c r="I111" i="1"/>
  <c r="H111" i="1"/>
  <c r="G111" i="1"/>
  <c r="L110" i="1"/>
  <c r="K110" i="1"/>
  <c r="J110" i="1"/>
  <c r="I110" i="1"/>
  <c r="H110" i="1"/>
  <c r="G110" i="1"/>
  <c r="L109" i="1"/>
  <c r="K109" i="1"/>
  <c r="J109" i="1"/>
  <c r="I109" i="1"/>
  <c r="H109" i="1"/>
  <c r="G109" i="1"/>
  <c r="L108" i="1"/>
  <c r="K108" i="1"/>
  <c r="J108" i="1"/>
  <c r="I108" i="1"/>
  <c r="H108" i="1"/>
  <c r="G108" i="1"/>
  <c r="L107" i="1"/>
  <c r="K107" i="1"/>
  <c r="J107" i="1"/>
  <c r="I107" i="1"/>
  <c r="H107" i="1"/>
  <c r="G107" i="1"/>
  <c r="L106" i="1"/>
  <c r="K106" i="1"/>
  <c r="J106" i="1"/>
  <c r="I106" i="1"/>
  <c r="H106" i="1"/>
  <c r="G106" i="1"/>
  <c r="L105" i="1"/>
  <c r="K105" i="1"/>
  <c r="J105" i="1"/>
  <c r="I105" i="1"/>
  <c r="H105" i="1"/>
  <c r="G105" i="1"/>
  <c r="L104" i="1"/>
  <c r="K104" i="1"/>
  <c r="J104" i="1"/>
  <c r="I104" i="1"/>
  <c r="H104" i="1"/>
  <c r="G104" i="1"/>
  <c r="L103" i="1"/>
  <c r="K103" i="1"/>
  <c r="J103" i="1"/>
  <c r="I103" i="1"/>
  <c r="H103" i="1"/>
  <c r="G103" i="1"/>
  <c r="L102" i="1"/>
  <c r="K102" i="1"/>
  <c r="J102" i="1"/>
  <c r="I102" i="1"/>
  <c r="H102" i="1"/>
  <c r="G102" i="1"/>
  <c r="L101" i="1"/>
  <c r="K101" i="1"/>
  <c r="J101" i="1"/>
  <c r="I101" i="1"/>
  <c r="H101" i="1"/>
  <c r="G101" i="1"/>
  <c r="L100" i="1"/>
  <c r="K100" i="1"/>
  <c r="J100" i="1"/>
  <c r="I100" i="1"/>
  <c r="H100" i="1"/>
  <c r="G100" i="1"/>
  <c r="L99" i="1"/>
  <c r="K99" i="1"/>
  <c r="J99" i="1"/>
  <c r="I99" i="1"/>
  <c r="H99" i="1"/>
  <c r="G99" i="1"/>
  <c r="L98" i="1"/>
  <c r="K98" i="1"/>
  <c r="J98" i="1"/>
  <c r="I98" i="1"/>
  <c r="H98" i="1"/>
  <c r="G98" i="1"/>
  <c r="L97" i="1"/>
  <c r="K97" i="1"/>
  <c r="J97" i="1"/>
  <c r="I97" i="1"/>
  <c r="H97" i="1"/>
  <c r="G97" i="1"/>
  <c r="L96" i="1"/>
  <c r="K96" i="1"/>
  <c r="J96" i="1"/>
  <c r="I96" i="1"/>
  <c r="H96" i="1"/>
  <c r="G96" i="1"/>
  <c r="L95" i="1"/>
  <c r="K95" i="1"/>
  <c r="J95" i="1"/>
  <c r="I95" i="1"/>
  <c r="H95" i="1"/>
  <c r="G95" i="1"/>
  <c r="L94" i="1"/>
  <c r="K94" i="1"/>
  <c r="J94" i="1"/>
  <c r="I94" i="1"/>
  <c r="H94" i="1"/>
  <c r="G94" i="1"/>
  <c r="L93" i="1"/>
  <c r="K93" i="1"/>
  <c r="J93" i="1"/>
  <c r="I93" i="1"/>
  <c r="H93" i="1"/>
  <c r="G93" i="1"/>
  <c r="L92" i="1"/>
  <c r="K92" i="1"/>
  <c r="J92" i="1"/>
  <c r="I92" i="1"/>
  <c r="H92" i="1"/>
  <c r="G92" i="1"/>
  <c r="L91" i="1"/>
  <c r="K91" i="1"/>
  <c r="J91" i="1"/>
  <c r="I91" i="1"/>
  <c r="H91" i="1"/>
  <c r="G91" i="1"/>
  <c r="L90" i="1"/>
  <c r="K90" i="1"/>
  <c r="J90" i="1"/>
  <c r="I90" i="1"/>
  <c r="H90" i="1"/>
  <c r="G90" i="1"/>
  <c r="L89" i="1"/>
  <c r="K89" i="1"/>
  <c r="J89" i="1"/>
  <c r="I89" i="1"/>
  <c r="H89" i="1"/>
  <c r="G89" i="1"/>
  <c r="L88" i="1"/>
  <c r="K88" i="1"/>
  <c r="J88" i="1"/>
  <c r="I88" i="1"/>
  <c r="H88" i="1"/>
  <c r="G88" i="1"/>
  <c r="L87" i="1"/>
  <c r="K87" i="1"/>
  <c r="J87" i="1"/>
  <c r="I87" i="1"/>
  <c r="H87" i="1"/>
  <c r="G87" i="1"/>
  <c r="L86" i="1"/>
  <c r="K86" i="1"/>
  <c r="J86" i="1"/>
  <c r="I86" i="1"/>
  <c r="H86" i="1"/>
  <c r="G86" i="1"/>
  <c r="L85" i="1"/>
  <c r="K85" i="1"/>
  <c r="J85" i="1"/>
  <c r="I85" i="1"/>
  <c r="H85" i="1"/>
  <c r="G85" i="1"/>
  <c r="L84" i="1"/>
  <c r="K84" i="1"/>
  <c r="J84" i="1"/>
  <c r="I84" i="1"/>
  <c r="H84" i="1"/>
  <c r="G84" i="1"/>
  <c r="L83" i="1"/>
  <c r="K83" i="1"/>
  <c r="J83" i="1"/>
  <c r="I83" i="1"/>
  <c r="H83" i="1"/>
  <c r="G83" i="1"/>
  <c r="L82" i="1"/>
  <c r="K82" i="1"/>
  <c r="J82" i="1"/>
  <c r="I82" i="1"/>
  <c r="H82" i="1"/>
  <c r="G82" i="1"/>
  <c r="L81" i="1"/>
  <c r="K81" i="1"/>
  <c r="J81" i="1"/>
  <c r="I81" i="1"/>
  <c r="H81" i="1"/>
  <c r="G81" i="1"/>
  <c r="L80" i="1"/>
  <c r="K80" i="1"/>
  <c r="J80" i="1"/>
  <c r="I80" i="1"/>
  <c r="H80" i="1"/>
  <c r="G80" i="1"/>
  <c r="L79" i="1"/>
  <c r="K79" i="1"/>
  <c r="J79" i="1"/>
  <c r="I79" i="1"/>
  <c r="H79" i="1"/>
  <c r="G79" i="1"/>
  <c r="L78" i="1"/>
  <c r="K78" i="1"/>
  <c r="J78" i="1"/>
  <c r="I78" i="1"/>
  <c r="H78" i="1"/>
  <c r="G78" i="1"/>
  <c r="L77" i="1"/>
  <c r="K77" i="1"/>
  <c r="J77" i="1"/>
  <c r="I77" i="1"/>
  <c r="H77" i="1"/>
  <c r="G77" i="1"/>
  <c r="L76" i="1"/>
  <c r="K76" i="1"/>
  <c r="J76" i="1"/>
  <c r="I76" i="1"/>
  <c r="H76" i="1"/>
  <c r="G76" i="1"/>
  <c r="L75" i="1"/>
  <c r="K75" i="1"/>
  <c r="J75" i="1"/>
  <c r="I75" i="1"/>
  <c r="H75" i="1"/>
  <c r="G75" i="1"/>
  <c r="L74" i="1"/>
  <c r="K74" i="1"/>
  <c r="J74" i="1"/>
  <c r="I74" i="1"/>
  <c r="H74" i="1"/>
  <c r="G74" i="1"/>
  <c r="L73" i="1"/>
  <c r="K73" i="1"/>
  <c r="J73" i="1"/>
  <c r="I73" i="1"/>
  <c r="H73" i="1"/>
  <c r="G73" i="1"/>
  <c r="L72" i="1"/>
  <c r="K72" i="1"/>
  <c r="J72" i="1"/>
  <c r="I72" i="1"/>
  <c r="H72" i="1"/>
  <c r="G72" i="1"/>
  <c r="L71" i="1"/>
  <c r="K71" i="1"/>
  <c r="J71" i="1"/>
  <c r="I71" i="1"/>
  <c r="H71" i="1"/>
  <c r="G71" i="1"/>
  <c r="L70" i="1"/>
  <c r="K70" i="1"/>
  <c r="J70" i="1"/>
  <c r="I70" i="1"/>
  <c r="H70" i="1"/>
  <c r="G70" i="1"/>
  <c r="L69" i="1"/>
  <c r="K69" i="1"/>
  <c r="J69" i="1"/>
  <c r="I69" i="1"/>
  <c r="H69" i="1"/>
  <c r="G69" i="1"/>
  <c r="L68" i="1"/>
  <c r="K68" i="1"/>
  <c r="J68" i="1"/>
  <c r="I68" i="1"/>
  <c r="H68" i="1"/>
  <c r="G68" i="1"/>
  <c r="L67" i="1"/>
  <c r="K67" i="1"/>
  <c r="J67" i="1"/>
  <c r="I67" i="1"/>
  <c r="H67" i="1"/>
  <c r="G67" i="1"/>
  <c r="L66" i="1"/>
  <c r="K66" i="1"/>
  <c r="J66" i="1"/>
  <c r="I66" i="1"/>
  <c r="H66" i="1"/>
  <c r="G66" i="1"/>
  <c r="L65" i="1"/>
  <c r="K65" i="1"/>
  <c r="J65" i="1"/>
  <c r="I65" i="1"/>
  <c r="H65" i="1"/>
  <c r="G65" i="1"/>
  <c r="L64" i="1"/>
  <c r="K64" i="1"/>
  <c r="J64" i="1"/>
  <c r="I64" i="1"/>
  <c r="H64" i="1"/>
  <c r="G64" i="1"/>
  <c r="L63" i="1"/>
  <c r="K63" i="1"/>
  <c r="J63" i="1"/>
  <c r="I63" i="1"/>
  <c r="H63" i="1"/>
  <c r="G63" i="1"/>
  <c r="L62" i="1"/>
  <c r="K62" i="1"/>
  <c r="J62" i="1"/>
  <c r="I62" i="1"/>
  <c r="H62" i="1"/>
  <c r="G62" i="1"/>
  <c r="L61" i="1"/>
  <c r="K61" i="1"/>
  <c r="J61" i="1"/>
  <c r="I61" i="1"/>
  <c r="H61" i="1"/>
  <c r="G61" i="1"/>
  <c r="L60" i="1"/>
  <c r="K60" i="1"/>
  <c r="J60" i="1"/>
  <c r="I60" i="1"/>
  <c r="H60" i="1"/>
  <c r="G60" i="1"/>
  <c r="L59" i="1"/>
  <c r="K59" i="1"/>
  <c r="J59" i="1"/>
  <c r="I59" i="1"/>
  <c r="H59" i="1"/>
  <c r="G59" i="1"/>
  <c r="L58" i="1"/>
  <c r="K58" i="1"/>
  <c r="J58" i="1"/>
  <c r="I58" i="1"/>
  <c r="H58" i="1"/>
  <c r="G58" i="1"/>
  <c r="L57" i="1"/>
  <c r="K57" i="1"/>
  <c r="J57" i="1"/>
  <c r="I57" i="1"/>
  <c r="H57" i="1"/>
  <c r="G57" i="1"/>
  <c r="L56" i="1"/>
  <c r="K56" i="1"/>
  <c r="J56" i="1"/>
  <c r="I56" i="1"/>
  <c r="H56" i="1"/>
  <c r="G56" i="1"/>
  <c r="L55" i="1"/>
  <c r="K55" i="1"/>
  <c r="J55" i="1"/>
  <c r="I55" i="1"/>
  <c r="H55" i="1"/>
  <c r="G55" i="1"/>
  <c r="L54" i="1"/>
  <c r="K54" i="1"/>
  <c r="J54" i="1"/>
  <c r="I54" i="1"/>
  <c r="H54" i="1"/>
  <c r="G54" i="1"/>
  <c r="L53" i="1"/>
  <c r="K53" i="1"/>
  <c r="J53" i="1"/>
  <c r="I53" i="1"/>
  <c r="H53" i="1"/>
  <c r="G53" i="1"/>
  <c r="L52" i="1"/>
  <c r="K52" i="1"/>
  <c r="J52" i="1"/>
  <c r="I52" i="1"/>
  <c r="H52" i="1"/>
  <c r="G52" i="1"/>
  <c r="L51" i="1"/>
  <c r="K51" i="1"/>
  <c r="J51" i="1"/>
  <c r="I51" i="1"/>
  <c r="H51" i="1"/>
  <c r="G51" i="1"/>
  <c r="L50" i="1"/>
  <c r="K50" i="1"/>
  <c r="J50" i="1"/>
  <c r="I50" i="1"/>
  <c r="H50" i="1"/>
  <c r="G50" i="1"/>
  <c r="L49" i="1"/>
  <c r="K49" i="1"/>
  <c r="J49" i="1"/>
  <c r="I49" i="1"/>
  <c r="H49" i="1"/>
  <c r="G49" i="1"/>
  <c r="L48" i="1"/>
  <c r="K48" i="1"/>
  <c r="J48" i="1"/>
  <c r="I48" i="1"/>
  <c r="H48" i="1"/>
  <c r="G48" i="1"/>
  <c r="L47" i="1"/>
  <c r="K47" i="1"/>
  <c r="J47" i="1"/>
  <c r="I47" i="1"/>
  <c r="H47" i="1"/>
  <c r="G47" i="1"/>
  <c r="L46" i="1"/>
  <c r="K46" i="1"/>
  <c r="J46" i="1"/>
  <c r="I46" i="1"/>
  <c r="H46" i="1"/>
  <c r="G46" i="1"/>
  <c r="L45" i="1"/>
  <c r="K45" i="1"/>
  <c r="J45" i="1"/>
  <c r="I45" i="1"/>
  <c r="H45" i="1"/>
  <c r="G45" i="1"/>
  <c r="L44" i="1"/>
  <c r="K44" i="1"/>
  <c r="J44" i="1"/>
  <c r="I44" i="1"/>
  <c r="H44" i="1"/>
  <c r="G44" i="1"/>
  <c r="L43" i="1"/>
  <c r="K43" i="1"/>
  <c r="J43" i="1"/>
  <c r="I43" i="1"/>
  <c r="H43" i="1"/>
  <c r="G43" i="1"/>
  <c r="L42" i="1"/>
  <c r="K42" i="1"/>
  <c r="J42" i="1"/>
  <c r="I42" i="1"/>
  <c r="H42" i="1"/>
  <c r="G42" i="1"/>
  <c r="L41" i="1"/>
  <c r="K41" i="1"/>
  <c r="J41" i="1"/>
  <c r="I41" i="1"/>
  <c r="H41" i="1"/>
  <c r="G41" i="1"/>
  <c r="L40" i="1"/>
  <c r="K40" i="1"/>
  <c r="J40" i="1"/>
  <c r="I40" i="1"/>
  <c r="H40" i="1"/>
  <c r="G40" i="1"/>
  <c r="L39" i="1"/>
  <c r="K39" i="1"/>
  <c r="J39" i="1"/>
  <c r="I39" i="1"/>
  <c r="H39" i="1"/>
  <c r="G39" i="1"/>
  <c r="L38" i="1"/>
  <c r="K38" i="1"/>
  <c r="J38" i="1"/>
  <c r="I38" i="1"/>
  <c r="H38" i="1"/>
  <c r="G38" i="1"/>
  <c r="L37" i="1"/>
  <c r="K37" i="1"/>
  <c r="J37" i="1"/>
  <c r="I37" i="1"/>
  <c r="H37" i="1"/>
  <c r="G37" i="1"/>
  <c r="L36" i="1"/>
  <c r="K36" i="1"/>
  <c r="J36" i="1"/>
  <c r="I36" i="1"/>
  <c r="H36" i="1"/>
  <c r="G36" i="1"/>
  <c r="L35" i="1"/>
  <c r="K35" i="1"/>
  <c r="J35" i="1"/>
  <c r="I35" i="1"/>
  <c r="H35" i="1"/>
  <c r="G35" i="1"/>
  <c r="L34" i="1"/>
  <c r="K34" i="1"/>
  <c r="J34" i="1"/>
  <c r="I34" i="1"/>
  <c r="H34" i="1"/>
  <c r="G34" i="1"/>
  <c r="L33" i="1"/>
  <c r="K33" i="1"/>
  <c r="J33" i="1"/>
  <c r="I33" i="1"/>
  <c r="H33" i="1"/>
  <c r="G33" i="1"/>
  <c r="L32" i="1"/>
  <c r="K32" i="1"/>
  <c r="J32" i="1"/>
  <c r="I32" i="1"/>
  <c r="H32" i="1"/>
  <c r="G32" i="1"/>
  <c r="L31" i="1"/>
  <c r="K31" i="1"/>
  <c r="J31" i="1"/>
  <c r="I31" i="1"/>
  <c r="H31" i="1"/>
  <c r="G31" i="1"/>
  <c r="L30" i="1"/>
  <c r="K30" i="1"/>
  <c r="J30" i="1"/>
  <c r="I30" i="1"/>
  <c r="H30" i="1"/>
  <c r="G30" i="1"/>
  <c r="L29" i="1"/>
  <c r="K29" i="1"/>
  <c r="J29" i="1"/>
  <c r="I29" i="1"/>
  <c r="H29" i="1"/>
  <c r="G29" i="1"/>
  <c r="L28" i="1"/>
  <c r="K28" i="1"/>
  <c r="J28" i="1"/>
  <c r="I28" i="1"/>
  <c r="H28" i="1"/>
  <c r="G28" i="1"/>
  <c r="L27" i="1"/>
  <c r="K27" i="1"/>
  <c r="J27" i="1"/>
  <c r="I27" i="1"/>
  <c r="H27" i="1"/>
  <c r="G27" i="1"/>
  <c r="L26" i="1"/>
  <c r="K26" i="1"/>
  <c r="J26" i="1"/>
  <c r="I26" i="1"/>
  <c r="H26" i="1"/>
  <c r="G26" i="1"/>
  <c r="L25" i="1"/>
  <c r="K25" i="1"/>
  <c r="J25" i="1"/>
  <c r="I25" i="1"/>
  <c r="H25" i="1"/>
  <c r="G25" i="1"/>
  <c r="L24" i="1"/>
  <c r="K24" i="1"/>
  <c r="J24" i="1"/>
  <c r="I24" i="1"/>
  <c r="H24" i="1"/>
  <c r="G24" i="1"/>
  <c r="L23" i="1"/>
  <c r="K23" i="1"/>
  <c r="J23" i="1"/>
  <c r="I23" i="1"/>
  <c r="H23" i="1"/>
  <c r="G23" i="1"/>
  <c r="L22" i="1"/>
  <c r="K22" i="1"/>
  <c r="J22" i="1"/>
  <c r="I22" i="1"/>
  <c r="H22" i="1"/>
  <c r="G22" i="1"/>
  <c r="L21" i="1"/>
  <c r="K21" i="1"/>
  <c r="J21" i="1"/>
  <c r="I21" i="1"/>
  <c r="H21" i="1"/>
  <c r="G21" i="1"/>
  <c r="L20" i="1"/>
  <c r="K20" i="1"/>
  <c r="J20" i="1"/>
  <c r="I20" i="1"/>
  <c r="H20" i="1"/>
  <c r="G20" i="1"/>
  <c r="L19" i="1"/>
  <c r="K19" i="1"/>
  <c r="J19" i="1"/>
  <c r="I19" i="1"/>
  <c r="H19" i="1"/>
  <c r="G19" i="1"/>
  <c r="L18" i="1"/>
  <c r="K18" i="1"/>
  <c r="J18" i="1"/>
  <c r="I18" i="1"/>
  <c r="H18" i="1"/>
  <c r="G18" i="1"/>
  <c r="L17" i="1"/>
  <c r="K17" i="1"/>
  <c r="J17" i="1"/>
  <c r="I17" i="1"/>
  <c r="H17" i="1"/>
  <c r="G17" i="1"/>
  <c r="L16" i="1"/>
  <c r="K16" i="1"/>
  <c r="J16" i="1"/>
  <c r="I16" i="1"/>
  <c r="H16" i="1"/>
  <c r="G16" i="1"/>
  <c r="L15" i="1"/>
  <c r="K15" i="1"/>
  <c r="J15" i="1"/>
  <c r="I15" i="1"/>
  <c r="H15" i="1"/>
  <c r="G15" i="1"/>
  <c r="L14" i="1"/>
  <c r="K14" i="1"/>
  <c r="J14" i="1"/>
  <c r="I14" i="1"/>
  <c r="H14" i="1"/>
  <c r="G14" i="1"/>
  <c r="L13" i="1"/>
  <c r="K13" i="1"/>
  <c r="J13" i="1"/>
  <c r="I13" i="1"/>
  <c r="H13" i="1"/>
  <c r="G13" i="1"/>
  <c r="L12" i="1"/>
  <c r="K12" i="1"/>
  <c r="J12" i="1"/>
  <c r="I12" i="1"/>
  <c r="H12" i="1"/>
  <c r="G12" i="1"/>
  <c r="L11" i="1"/>
  <c r="K11" i="1"/>
  <c r="J11" i="1"/>
  <c r="I11" i="1"/>
  <c r="H11" i="1"/>
  <c r="G11" i="1"/>
  <c r="L10" i="1"/>
  <c r="K10" i="1"/>
  <c r="J10" i="1"/>
  <c r="I10" i="1"/>
  <c r="H10" i="1"/>
  <c r="G10" i="1"/>
  <c r="L9" i="1"/>
  <c r="K9" i="1"/>
  <c r="J9" i="1"/>
  <c r="I9" i="1"/>
  <c r="H9" i="1"/>
  <c r="G9" i="1"/>
  <c r="L8" i="1"/>
  <c r="K8" i="1"/>
  <c r="J8" i="1"/>
  <c r="I8" i="1"/>
  <c r="H8" i="1"/>
  <c r="G8" i="1"/>
  <c r="L7" i="1"/>
  <c r="K7" i="1"/>
  <c r="J7" i="1"/>
  <c r="I7" i="1"/>
  <c r="H7" i="1"/>
  <c r="G7" i="1"/>
  <c r="L6" i="1"/>
  <c r="K6" i="1"/>
  <c r="J6" i="1"/>
  <c r="I6" i="1"/>
  <c r="H6" i="1"/>
  <c r="G6" i="1"/>
  <c r="L5" i="1"/>
  <c r="K5" i="1"/>
  <c r="J5" i="1"/>
  <c r="I5" i="1"/>
  <c r="H5" i="1"/>
  <c r="G5" i="1"/>
  <c r="L4" i="1"/>
  <c r="K4" i="1"/>
  <c r="J4" i="1"/>
  <c r="I4" i="1"/>
  <c r="H4" i="1"/>
  <c r="G4" i="1"/>
  <c r="L3" i="1"/>
  <c r="K3" i="1"/>
  <c r="J3" i="1"/>
  <c r="I3" i="1"/>
  <c r="H3" i="1"/>
  <c r="G3" i="1"/>
  <c r="L2" i="1"/>
  <c r="K2" i="1"/>
  <c r="J2" i="1"/>
  <c r="I2" i="1"/>
  <c r="H2" i="1"/>
  <c r="G2" i="1"/>
  <c r="M110" i="2"/>
  <c r="L110" i="2"/>
  <c r="K110" i="2"/>
  <c r="J110" i="2"/>
  <c r="I110" i="2"/>
  <c r="H110" i="2"/>
  <c r="G110" i="2"/>
  <c r="M109" i="2"/>
  <c r="L109" i="2"/>
  <c r="K109" i="2"/>
  <c r="J109" i="2"/>
  <c r="I109" i="2"/>
  <c r="H109" i="2"/>
  <c r="G109" i="2"/>
  <c r="M108" i="2"/>
  <c r="L108" i="2"/>
  <c r="K108" i="2"/>
  <c r="J108" i="2"/>
  <c r="I108" i="2"/>
  <c r="H108" i="2"/>
  <c r="G108" i="2"/>
  <c r="M107" i="2"/>
  <c r="L107" i="2"/>
  <c r="K107" i="2"/>
  <c r="J107" i="2"/>
  <c r="I107" i="2"/>
  <c r="H107" i="2"/>
  <c r="G107" i="2"/>
  <c r="M106" i="2"/>
  <c r="L106" i="2"/>
  <c r="K106" i="2"/>
  <c r="J106" i="2"/>
  <c r="I106" i="2"/>
  <c r="H106" i="2"/>
  <c r="G106" i="2"/>
  <c r="M105" i="2"/>
  <c r="L105" i="2"/>
  <c r="K105" i="2"/>
  <c r="J105" i="2"/>
  <c r="I105" i="2"/>
  <c r="H105" i="2"/>
  <c r="G105" i="2"/>
  <c r="M104" i="2"/>
  <c r="L104" i="2"/>
  <c r="K104" i="2"/>
  <c r="J104" i="2"/>
  <c r="I104" i="2"/>
  <c r="H104" i="2"/>
  <c r="G104" i="2"/>
  <c r="M103" i="2"/>
  <c r="L103" i="2"/>
  <c r="K103" i="2"/>
  <c r="J103" i="2"/>
  <c r="I103" i="2"/>
  <c r="G103" i="2"/>
  <c r="M102" i="2"/>
  <c r="L102" i="2"/>
  <c r="K102" i="2"/>
  <c r="J102" i="2"/>
  <c r="I102" i="2"/>
  <c r="H102" i="2"/>
  <c r="G102" i="2"/>
  <c r="M101" i="2"/>
  <c r="L101" i="2"/>
  <c r="K101" i="2"/>
  <c r="J101" i="2"/>
  <c r="I101" i="2"/>
  <c r="H101" i="2"/>
  <c r="G101" i="2"/>
  <c r="M100" i="2"/>
  <c r="L100" i="2"/>
  <c r="K100" i="2"/>
  <c r="J100" i="2"/>
  <c r="I100" i="2"/>
  <c r="H100" i="2"/>
  <c r="G100" i="2"/>
  <c r="M99" i="2"/>
  <c r="L99" i="2"/>
  <c r="K99" i="2"/>
  <c r="J99" i="2"/>
  <c r="I99" i="2"/>
  <c r="H99" i="2"/>
  <c r="G99" i="2"/>
  <c r="M98" i="2"/>
  <c r="L98" i="2"/>
  <c r="K98" i="2"/>
  <c r="J98" i="2"/>
  <c r="I98" i="2"/>
  <c r="H98" i="2"/>
  <c r="G98" i="2"/>
  <c r="M97" i="2"/>
  <c r="L97" i="2"/>
  <c r="K97" i="2"/>
  <c r="J97" i="2"/>
  <c r="I97" i="2"/>
  <c r="H97" i="2"/>
  <c r="G97" i="2"/>
  <c r="M96" i="2"/>
  <c r="L96" i="2"/>
  <c r="K96" i="2"/>
  <c r="J96" i="2"/>
  <c r="I96" i="2"/>
  <c r="H96" i="2"/>
  <c r="G96" i="2"/>
  <c r="M95" i="2"/>
  <c r="L95" i="2"/>
  <c r="K95" i="2"/>
  <c r="J95" i="2"/>
  <c r="I95" i="2"/>
  <c r="H95" i="2"/>
  <c r="G95" i="2"/>
  <c r="M94" i="2"/>
  <c r="L94" i="2"/>
  <c r="K94" i="2"/>
  <c r="J94" i="2"/>
  <c r="I94" i="2"/>
  <c r="H94" i="2"/>
  <c r="G94" i="2"/>
  <c r="M93" i="2"/>
  <c r="L93" i="2"/>
  <c r="K93" i="2"/>
  <c r="J93" i="2"/>
  <c r="I93" i="2"/>
  <c r="H93" i="2"/>
  <c r="G93" i="2"/>
  <c r="M92" i="2"/>
  <c r="L92" i="2"/>
  <c r="K92" i="2"/>
  <c r="J92" i="2"/>
  <c r="I92" i="2"/>
  <c r="H92" i="2"/>
  <c r="G92" i="2"/>
  <c r="M91" i="2"/>
  <c r="L91" i="2"/>
  <c r="K91" i="2"/>
  <c r="J91" i="2"/>
  <c r="I91" i="2"/>
  <c r="H91" i="2"/>
  <c r="G91" i="2"/>
  <c r="M90" i="2"/>
  <c r="L90" i="2"/>
  <c r="K90" i="2"/>
  <c r="J90" i="2"/>
  <c r="I90" i="2"/>
  <c r="H90" i="2"/>
  <c r="G90" i="2"/>
  <c r="M89" i="2"/>
  <c r="L89" i="2"/>
  <c r="K89" i="2"/>
  <c r="J89" i="2"/>
  <c r="I89" i="2"/>
  <c r="H89" i="2"/>
  <c r="G89" i="2"/>
  <c r="M88" i="2"/>
  <c r="L88" i="2"/>
  <c r="K88" i="2"/>
  <c r="J88" i="2"/>
  <c r="I88" i="2"/>
  <c r="H88" i="2"/>
  <c r="G88" i="2"/>
  <c r="M87" i="2"/>
  <c r="L87" i="2"/>
  <c r="K87" i="2"/>
  <c r="J87" i="2"/>
  <c r="I87" i="2"/>
  <c r="H87" i="2"/>
  <c r="G87" i="2"/>
  <c r="M86" i="2"/>
  <c r="L86" i="2"/>
  <c r="K86" i="2"/>
  <c r="J86" i="2"/>
  <c r="I86" i="2"/>
  <c r="H86" i="2"/>
  <c r="G86" i="2"/>
  <c r="M85" i="2"/>
  <c r="L85" i="2"/>
  <c r="K85" i="2"/>
  <c r="J85" i="2"/>
  <c r="I85" i="2"/>
  <c r="H85" i="2"/>
  <c r="G85" i="2"/>
  <c r="M84" i="2"/>
  <c r="L84" i="2"/>
  <c r="K84" i="2"/>
  <c r="J84" i="2"/>
  <c r="I84" i="2"/>
  <c r="H84" i="2"/>
  <c r="G84" i="2"/>
  <c r="M83" i="2"/>
  <c r="L83" i="2"/>
  <c r="K83" i="2"/>
  <c r="J83" i="2"/>
  <c r="I83" i="2"/>
  <c r="H83" i="2"/>
  <c r="G83" i="2"/>
  <c r="M82" i="2"/>
  <c r="L82" i="2"/>
  <c r="K82" i="2"/>
  <c r="J82" i="2"/>
  <c r="I82" i="2"/>
  <c r="H82" i="2"/>
  <c r="G82" i="2"/>
  <c r="M81" i="2"/>
  <c r="L81" i="2"/>
  <c r="K81" i="2"/>
  <c r="J81" i="2"/>
  <c r="I81" i="2"/>
  <c r="H81" i="2"/>
  <c r="G81" i="2"/>
  <c r="M80" i="2"/>
  <c r="L80" i="2"/>
  <c r="K80" i="2"/>
  <c r="J80" i="2"/>
  <c r="I80" i="2"/>
  <c r="H80" i="2"/>
  <c r="G80" i="2"/>
  <c r="M79" i="2"/>
  <c r="L79" i="2"/>
  <c r="K79" i="2"/>
  <c r="J79" i="2"/>
  <c r="I79" i="2"/>
  <c r="H79" i="2"/>
  <c r="G79" i="2"/>
  <c r="M78" i="2"/>
  <c r="L78" i="2"/>
  <c r="K78" i="2"/>
  <c r="J78" i="2"/>
  <c r="I78" i="2"/>
  <c r="H78" i="2"/>
  <c r="G78" i="2"/>
  <c r="M77" i="2"/>
  <c r="L77" i="2"/>
  <c r="K77" i="2"/>
  <c r="J77" i="2"/>
  <c r="I77" i="2"/>
  <c r="H77" i="2"/>
  <c r="G77" i="2"/>
  <c r="M76" i="2"/>
  <c r="L76" i="2"/>
  <c r="K76" i="2"/>
  <c r="J76" i="2"/>
  <c r="I76" i="2"/>
  <c r="H76" i="2"/>
  <c r="G76" i="2"/>
  <c r="M75" i="2"/>
  <c r="L75" i="2"/>
  <c r="K75" i="2"/>
  <c r="J75" i="2"/>
  <c r="I75" i="2"/>
  <c r="H75" i="2"/>
  <c r="G75" i="2"/>
  <c r="M74" i="2"/>
  <c r="L74" i="2"/>
  <c r="K74" i="2"/>
  <c r="J74" i="2"/>
  <c r="I74" i="2"/>
  <c r="H74" i="2"/>
  <c r="G74" i="2"/>
  <c r="M73" i="2"/>
  <c r="L73" i="2"/>
  <c r="K73" i="2"/>
  <c r="J73" i="2"/>
  <c r="I73" i="2"/>
  <c r="H73" i="2"/>
  <c r="G73" i="2"/>
  <c r="M72" i="2"/>
  <c r="L72" i="2"/>
  <c r="K72" i="2"/>
  <c r="J72" i="2"/>
  <c r="I72" i="2"/>
  <c r="H72" i="2"/>
  <c r="G72" i="2"/>
  <c r="M71" i="2"/>
  <c r="L71" i="2"/>
  <c r="K71" i="2"/>
  <c r="J71" i="2"/>
  <c r="I71" i="2"/>
  <c r="H71" i="2"/>
  <c r="G71" i="2"/>
  <c r="M70" i="2"/>
  <c r="L70" i="2"/>
  <c r="K70" i="2"/>
  <c r="J70" i="2"/>
  <c r="I70" i="2"/>
  <c r="H70" i="2"/>
  <c r="G70" i="2"/>
  <c r="M69" i="2"/>
  <c r="L69" i="2"/>
  <c r="K69" i="2"/>
  <c r="J69" i="2"/>
  <c r="I69" i="2"/>
  <c r="H69" i="2"/>
  <c r="G69" i="2"/>
  <c r="M68" i="2"/>
  <c r="L68" i="2"/>
  <c r="K68" i="2"/>
  <c r="J68" i="2"/>
  <c r="I68" i="2"/>
  <c r="H68" i="2"/>
  <c r="G68" i="2"/>
  <c r="M67" i="2"/>
  <c r="L67" i="2"/>
  <c r="K67" i="2"/>
  <c r="J67" i="2"/>
  <c r="I67" i="2"/>
  <c r="H67" i="2"/>
  <c r="G67" i="2"/>
  <c r="M66" i="2"/>
  <c r="L66" i="2"/>
  <c r="K66" i="2"/>
  <c r="J66" i="2"/>
  <c r="I66" i="2"/>
  <c r="H66" i="2"/>
  <c r="G66" i="2"/>
  <c r="M65" i="2"/>
  <c r="L65" i="2"/>
  <c r="K65" i="2"/>
  <c r="J65" i="2"/>
  <c r="I65" i="2"/>
  <c r="H65" i="2"/>
  <c r="G65" i="2"/>
  <c r="M64" i="2"/>
  <c r="L64" i="2"/>
  <c r="K64" i="2"/>
  <c r="J64" i="2"/>
  <c r="I64" i="2"/>
  <c r="H64" i="2"/>
  <c r="G64" i="2"/>
  <c r="M63" i="2"/>
  <c r="L63" i="2"/>
  <c r="K63" i="2"/>
  <c r="J63" i="2"/>
  <c r="I63" i="2"/>
  <c r="H63" i="2"/>
  <c r="G63" i="2"/>
  <c r="M62" i="2"/>
  <c r="L62" i="2"/>
  <c r="K62" i="2"/>
  <c r="J62" i="2"/>
  <c r="I62" i="2"/>
  <c r="H62" i="2"/>
  <c r="G62" i="2"/>
  <c r="M61" i="2"/>
  <c r="L61" i="2"/>
  <c r="K61" i="2"/>
  <c r="J61" i="2"/>
  <c r="I61" i="2"/>
  <c r="H61" i="2"/>
  <c r="G61" i="2"/>
  <c r="M60" i="2"/>
  <c r="L60" i="2"/>
  <c r="K60" i="2"/>
  <c r="J60" i="2"/>
  <c r="I60" i="2"/>
  <c r="H60" i="2"/>
  <c r="G60" i="2"/>
  <c r="M59" i="2"/>
  <c r="L59" i="2"/>
  <c r="K59" i="2"/>
  <c r="J59" i="2"/>
  <c r="I59" i="2"/>
  <c r="H59" i="2"/>
  <c r="G59" i="2"/>
  <c r="M58" i="2"/>
  <c r="L58" i="2"/>
  <c r="K58" i="2"/>
  <c r="J58" i="2"/>
  <c r="I58" i="2"/>
  <c r="H58" i="2"/>
  <c r="G58" i="2"/>
  <c r="M57" i="2"/>
  <c r="L57" i="2"/>
  <c r="K57" i="2"/>
  <c r="J57" i="2"/>
  <c r="I57" i="2"/>
  <c r="H57" i="2"/>
  <c r="G57" i="2"/>
  <c r="M56" i="2"/>
  <c r="L56" i="2"/>
  <c r="K56" i="2"/>
  <c r="J56" i="2"/>
  <c r="I56" i="2"/>
  <c r="H56" i="2"/>
  <c r="G56" i="2"/>
  <c r="M55" i="2"/>
  <c r="L55" i="2"/>
  <c r="K55" i="2"/>
  <c r="J55" i="2"/>
  <c r="I55" i="2"/>
  <c r="H55" i="2"/>
  <c r="G55" i="2"/>
  <c r="M54" i="2"/>
  <c r="L54" i="2"/>
  <c r="K54" i="2"/>
  <c r="J54" i="2"/>
  <c r="I54" i="2"/>
  <c r="H54" i="2"/>
  <c r="G54" i="2"/>
  <c r="M53" i="2"/>
  <c r="L53" i="2"/>
  <c r="K53" i="2"/>
  <c r="J53" i="2"/>
  <c r="I53" i="2"/>
  <c r="H53" i="2"/>
  <c r="G53" i="2"/>
  <c r="M52" i="2"/>
  <c r="L52" i="2"/>
  <c r="K52" i="2"/>
  <c r="J52" i="2"/>
  <c r="I52" i="2"/>
  <c r="H52" i="2"/>
  <c r="G52" i="2"/>
  <c r="M51" i="2"/>
  <c r="L51" i="2"/>
  <c r="K51" i="2"/>
  <c r="J51" i="2"/>
  <c r="I51" i="2"/>
  <c r="H51" i="2"/>
  <c r="G51" i="2"/>
  <c r="M50" i="2"/>
  <c r="L50" i="2"/>
  <c r="K50" i="2"/>
  <c r="J50" i="2"/>
  <c r="I50" i="2"/>
  <c r="H50" i="2"/>
  <c r="G50" i="2"/>
  <c r="M49" i="2"/>
  <c r="L49" i="2"/>
  <c r="K49" i="2"/>
  <c r="J49" i="2"/>
  <c r="I49" i="2"/>
  <c r="H49" i="2"/>
  <c r="G49" i="2"/>
  <c r="M48" i="2"/>
  <c r="L48" i="2"/>
  <c r="K48" i="2"/>
  <c r="J48" i="2"/>
  <c r="I48" i="2"/>
  <c r="H48" i="2"/>
  <c r="G48" i="2"/>
  <c r="M47" i="2"/>
  <c r="L47" i="2"/>
  <c r="K47" i="2"/>
  <c r="J47" i="2"/>
  <c r="I47" i="2"/>
  <c r="H47" i="2"/>
  <c r="G47" i="2"/>
  <c r="M46" i="2"/>
  <c r="L46" i="2"/>
  <c r="K46" i="2"/>
  <c r="J46" i="2"/>
  <c r="I46" i="2"/>
  <c r="H46" i="2"/>
  <c r="G46" i="2"/>
  <c r="M45" i="2"/>
  <c r="L45" i="2"/>
  <c r="K45" i="2"/>
  <c r="J45" i="2"/>
  <c r="I45" i="2"/>
  <c r="H45" i="2"/>
  <c r="G45" i="2"/>
  <c r="M44" i="2"/>
  <c r="L44" i="2"/>
  <c r="K44" i="2"/>
  <c r="J44" i="2"/>
  <c r="I44" i="2"/>
  <c r="H44" i="2"/>
  <c r="G44" i="2"/>
  <c r="M43" i="2"/>
  <c r="L43" i="2"/>
  <c r="K43" i="2"/>
  <c r="J43" i="2"/>
  <c r="I43" i="2"/>
  <c r="H43" i="2"/>
  <c r="G43" i="2"/>
  <c r="M42" i="2"/>
  <c r="L42" i="2"/>
  <c r="K42" i="2"/>
  <c r="J42" i="2"/>
  <c r="I42" i="2"/>
  <c r="H42" i="2"/>
  <c r="G42" i="2"/>
  <c r="M41" i="2"/>
  <c r="L41" i="2"/>
  <c r="K41" i="2"/>
  <c r="J41" i="2"/>
  <c r="I41" i="2"/>
  <c r="H41" i="2"/>
  <c r="G41" i="2"/>
  <c r="M40" i="2"/>
  <c r="L40" i="2"/>
  <c r="K40" i="2"/>
  <c r="J40" i="2"/>
  <c r="I40" i="2"/>
  <c r="H40" i="2"/>
  <c r="G40" i="2"/>
  <c r="M39" i="2"/>
  <c r="L39" i="2"/>
  <c r="K39" i="2"/>
  <c r="J39" i="2"/>
  <c r="I39" i="2"/>
  <c r="H39" i="2"/>
  <c r="G39" i="2"/>
  <c r="M38" i="2"/>
  <c r="L38" i="2"/>
  <c r="K38" i="2"/>
  <c r="J38" i="2"/>
  <c r="I38" i="2"/>
  <c r="H38" i="2"/>
  <c r="G38" i="2"/>
  <c r="M37" i="2"/>
  <c r="L37" i="2"/>
  <c r="K37" i="2"/>
  <c r="J37" i="2"/>
  <c r="I37" i="2"/>
  <c r="H37" i="2"/>
  <c r="G37" i="2"/>
  <c r="M36" i="2"/>
  <c r="L36" i="2"/>
  <c r="K36" i="2"/>
  <c r="J36" i="2"/>
  <c r="I36" i="2"/>
  <c r="H36" i="2"/>
  <c r="G36" i="2"/>
  <c r="M35" i="2"/>
  <c r="L35" i="2"/>
  <c r="K35" i="2"/>
  <c r="J35" i="2"/>
  <c r="I35" i="2"/>
  <c r="H35" i="2"/>
  <c r="G35" i="2"/>
  <c r="M34" i="2"/>
  <c r="L34" i="2"/>
  <c r="K34" i="2"/>
  <c r="J34" i="2"/>
  <c r="I34" i="2"/>
  <c r="H34" i="2"/>
  <c r="G34" i="2"/>
  <c r="M33" i="2"/>
  <c r="L33" i="2"/>
  <c r="K33" i="2"/>
  <c r="J33" i="2"/>
  <c r="I33" i="2"/>
  <c r="H33" i="2"/>
  <c r="G33" i="2"/>
  <c r="M32" i="2"/>
  <c r="L32" i="2"/>
  <c r="K32" i="2"/>
  <c r="J32" i="2"/>
  <c r="I32" i="2"/>
  <c r="H32" i="2"/>
  <c r="G32" i="2"/>
  <c r="M31" i="2"/>
  <c r="L31" i="2"/>
  <c r="K31" i="2"/>
  <c r="J31" i="2"/>
  <c r="I31" i="2"/>
  <c r="H31" i="2"/>
  <c r="G31" i="2"/>
  <c r="M30" i="2"/>
  <c r="L30" i="2"/>
  <c r="K30" i="2"/>
  <c r="J30" i="2"/>
  <c r="I30" i="2"/>
  <c r="H30" i="2"/>
  <c r="G30" i="2"/>
  <c r="M29" i="2"/>
  <c r="L29" i="2"/>
  <c r="K29" i="2"/>
  <c r="J29" i="2"/>
  <c r="I29" i="2"/>
  <c r="H29" i="2"/>
  <c r="G29" i="2"/>
  <c r="M28" i="2"/>
  <c r="L28" i="2"/>
  <c r="K28" i="2"/>
  <c r="J28" i="2"/>
  <c r="I28" i="2"/>
  <c r="H28" i="2"/>
  <c r="G28" i="2"/>
  <c r="M27" i="2"/>
  <c r="L27" i="2"/>
  <c r="K27" i="2"/>
  <c r="J27" i="2"/>
  <c r="I27" i="2"/>
  <c r="H27" i="2"/>
  <c r="G27" i="2"/>
  <c r="M26" i="2"/>
  <c r="L26" i="2"/>
  <c r="K26" i="2"/>
  <c r="J26" i="2"/>
  <c r="I26" i="2"/>
  <c r="H26" i="2"/>
  <c r="G26" i="2"/>
  <c r="M25" i="2"/>
  <c r="L25" i="2"/>
  <c r="K25" i="2"/>
  <c r="J25" i="2"/>
  <c r="I25" i="2"/>
  <c r="H25" i="2"/>
  <c r="G25" i="2"/>
  <c r="M24" i="2"/>
  <c r="L24" i="2"/>
  <c r="K24" i="2"/>
  <c r="J24" i="2"/>
  <c r="I24" i="2"/>
  <c r="H24" i="2"/>
  <c r="G24" i="2"/>
  <c r="M23" i="2"/>
  <c r="L23" i="2"/>
  <c r="K23" i="2"/>
  <c r="J23" i="2"/>
  <c r="I23" i="2"/>
  <c r="H23" i="2"/>
  <c r="G23" i="2"/>
  <c r="M22" i="2"/>
  <c r="L22" i="2"/>
  <c r="K22" i="2"/>
  <c r="J22" i="2"/>
  <c r="I22" i="2"/>
  <c r="H22" i="2"/>
  <c r="G22" i="2"/>
  <c r="M21" i="2"/>
  <c r="L21" i="2"/>
  <c r="K21" i="2"/>
  <c r="J21" i="2"/>
  <c r="I21" i="2"/>
  <c r="H21" i="2"/>
  <c r="G21" i="2"/>
  <c r="M20" i="2"/>
  <c r="L20" i="2"/>
  <c r="K20" i="2"/>
  <c r="J20" i="2"/>
  <c r="I20" i="2"/>
  <c r="H20" i="2"/>
  <c r="G20" i="2"/>
  <c r="M19" i="2"/>
  <c r="L19" i="2"/>
  <c r="K19" i="2"/>
  <c r="J19" i="2"/>
  <c r="I19" i="2"/>
  <c r="H19" i="2"/>
  <c r="G19" i="2"/>
  <c r="M18" i="2"/>
  <c r="L18" i="2"/>
  <c r="K18" i="2"/>
  <c r="J18" i="2"/>
  <c r="I18" i="2"/>
  <c r="H18" i="2"/>
  <c r="G18" i="2"/>
  <c r="M17" i="2"/>
  <c r="L17" i="2"/>
  <c r="K17" i="2"/>
  <c r="J17" i="2"/>
  <c r="I17" i="2"/>
  <c r="H17" i="2"/>
  <c r="G17" i="2"/>
  <c r="M16" i="2"/>
  <c r="L16" i="2"/>
  <c r="K16" i="2"/>
  <c r="J16" i="2"/>
  <c r="I16" i="2"/>
  <c r="H16" i="2"/>
  <c r="G16" i="2"/>
  <c r="M15" i="2"/>
  <c r="L15" i="2"/>
  <c r="K15" i="2"/>
  <c r="J15" i="2"/>
  <c r="I15" i="2"/>
  <c r="H15" i="2"/>
  <c r="G15" i="2"/>
  <c r="M14" i="2"/>
  <c r="L14" i="2"/>
  <c r="K14" i="2"/>
  <c r="J14" i="2"/>
  <c r="I14" i="2"/>
  <c r="H14" i="2"/>
  <c r="G14" i="2"/>
  <c r="M13" i="2"/>
  <c r="L13" i="2"/>
  <c r="K13" i="2"/>
  <c r="J13" i="2"/>
  <c r="I13" i="2"/>
  <c r="H13" i="2"/>
  <c r="G13" i="2"/>
  <c r="M12" i="2"/>
  <c r="L12" i="2"/>
  <c r="K12" i="2"/>
  <c r="J12" i="2"/>
  <c r="I12" i="2"/>
  <c r="H12" i="2"/>
  <c r="G12" i="2"/>
  <c r="M11" i="2"/>
  <c r="L11" i="2"/>
  <c r="K11" i="2"/>
  <c r="J11" i="2"/>
  <c r="I11" i="2"/>
  <c r="H11" i="2"/>
  <c r="G11" i="2"/>
  <c r="M10" i="2"/>
  <c r="L10" i="2"/>
  <c r="K10" i="2"/>
  <c r="J10" i="2"/>
  <c r="I10" i="2"/>
  <c r="H10" i="2"/>
  <c r="G10" i="2"/>
  <c r="M9" i="2"/>
  <c r="L9" i="2"/>
  <c r="K9" i="2"/>
  <c r="J9" i="2"/>
  <c r="I9" i="2"/>
  <c r="H9" i="2"/>
  <c r="G9" i="2"/>
  <c r="M8" i="2"/>
  <c r="L8" i="2"/>
  <c r="K8" i="2"/>
  <c r="J8" i="2"/>
  <c r="I8" i="2"/>
  <c r="H8" i="2"/>
  <c r="G8" i="2"/>
  <c r="M7" i="2"/>
  <c r="L7" i="2"/>
  <c r="K7" i="2"/>
  <c r="J7" i="2"/>
  <c r="I7" i="2"/>
  <c r="H7" i="2"/>
  <c r="G7" i="2"/>
  <c r="M6" i="2"/>
  <c r="L6" i="2"/>
  <c r="K6" i="2"/>
  <c r="J6" i="2"/>
  <c r="I6" i="2"/>
  <c r="H6" i="2"/>
  <c r="G6" i="2"/>
  <c r="M5" i="2"/>
  <c r="L5" i="2"/>
  <c r="K5" i="2"/>
  <c r="J5" i="2"/>
  <c r="I5" i="2"/>
  <c r="H5" i="2"/>
  <c r="G5" i="2"/>
  <c r="M4" i="2"/>
  <c r="L4" i="2"/>
  <c r="K4" i="2"/>
  <c r="J4" i="2"/>
  <c r="I4" i="2"/>
  <c r="H4" i="2"/>
  <c r="G4" i="2"/>
  <c r="M3" i="2"/>
  <c r="K3" i="2"/>
  <c r="J3" i="2"/>
  <c r="I3" i="2"/>
  <c r="H3" i="2"/>
  <c r="G3" i="2"/>
  <c r="K2" i="2"/>
  <c r="J2" i="2"/>
  <c r="I2" i="2"/>
  <c r="H2" i="2"/>
  <c r="G2" i="2"/>
  <c r="C2" i="2"/>
  <c r="M110" i="21"/>
  <c r="L110" i="21"/>
  <c r="K110" i="21"/>
  <c r="J110" i="21"/>
  <c r="I110" i="21"/>
  <c r="H110" i="21"/>
  <c r="G110" i="21"/>
  <c r="M109" i="21"/>
  <c r="L109" i="21"/>
  <c r="K109" i="21"/>
  <c r="J109" i="21"/>
  <c r="I109" i="21"/>
  <c r="H109" i="21"/>
  <c r="G109" i="21"/>
  <c r="M108" i="21"/>
  <c r="L108" i="21"/>
  <c r="K108" i="21"/>
  <c r="J108" i="21"/>
  <c r="I108" i="21"/>
  <c r="H108" i="21"/>
  <c r="G108" i="21"/>
  <c r="M107" i="21"/>
  <c r="L107" i="21"/>
  <c r="K107" i="21"/>
  <c r="J107" i="21"/>
  <c r="I107" i="21"/>
  <c r="H107" i="21"/>
  <c r="G107" i="21"/>
  <c r="M106" i="21"/>
  <c r="L106" i="21"/>
  <c r="K106" i="21"/>
  <c r="J106" i="21"/>
  <c r="I106" i="21"/>
  <c r="H106" i="21"/>
  <c r="G106" i="21"/>
  <c r="M105" i="21"/>
  <c r="L105" i="21"/>
  <c r="K105" i="21"/>
  <c r="J105" i="21"/>
  <c r="I105" i="21"/>
  <c r="H105" i="21"/>
  <c r="G105" i="21"/>
  <c r="M104" i="21"/>
  <c r="L104" i="21"/>
  <c r="K104" i="21"/>
  <c r="J104" i="21"/>
  <c r="I104" i="21"/>
  <c r="H104" i="21"/>
  <c r="G104" i="21"/>
  <c r="M103" i="21"/>
  <c r="L103" i="21"/>
  <c r="K103" i="21"/>
  <c r="J103" i="21"/>
  <c r="I103" i="21"/>
  <c r="G103" i="21"/>
  <c r="M102" i="21"/>
  <c r="L102" i="21"/>
  <c r="K102" i="21"/>
  <c r="J102" i="21"/>
  <c r="I102" i="21"/>
  <c r="H102" i="21"/>
  <c r="G102" i="21"/>
  <c r="M101" i="21"/>
  <c r="L101" i="21"/>
  <c r="K101" i="21"/>
  <c r="J101" i="21"/>
  <c r="I101" i="21"/>
  <c r="H101" i="21"/>
  <c r="G101" i="21"/>
  <c r="M100" i="21"/>
  <c r="L100" i="21"/>
  <c r="K100" i="21"/>
  <c r="J100" i="21"/>
  <c r="I100" i="21"/>
  <c r="H100" i="21"/>
  <c r="G100" i="21"/>
  <c r="M99" i="21"/>
  <c r="L99" i="21"/>
  <c r="K99" i="21"/>
  <c r="J99" i="21"/>
  <c r="I99" i="21"/>
  <c r="H99" i="21"/>
  <c r="G99" i="21"/>
  <c r="M98" i="21"/>
  <c r="L98" i="21"/>
  <c r="K98" i="21"/>
  <c r="J98" i="21"/>
  <c r="I98" i="21"/>
  <c r="H98" i="21"/>
  <c r="G98" i="21"/>
  <c r="M97" i="21"/>
  <c r="L97" i="21"/>
  <c r="K97" i="21"/>
  <c r="J97" i="21"/>
  <c r="I97" i="21"/>
  <c r="H97" i="21"/>
  <c r="G97" i="21"/>
  <c r="M96" i="21"/>
  <c r="L96" i="21"/>
  <c r="K96" i="21"/>
  <c r="J96" i="21"/>
  <c r="I96" i="21"/>
  <c r="H96" i="21"/>
  <c r="G96" i="21"/>
  <c r="M95" i="21"/>
  <c r="L95" i="21"/>
  <c r="K95" i="21"/>
  <c r="J95" i="21"/>
  <c r="I95" i="21"/>
  <c r="H95" i="21"/>
  <c r="G95" i="21"/>
  <c r="M94" i="21"/>
  <c r="L94" i="21"/>
  <c r="K94" i="21"/>
  <c r="J94" i="21"/>
  <c r="I94" i="21"/>
  <c r="H94" i="21"/>
  <c r="G94" i="21"/>
  <c r="M93" i="21"/>
  <c r="L93" i="21"/>
  <c r="K93" i="21"/>
  <c r="J93" i="21"/>
  <c r="I93" i="21"/>
  <c r="H93" i="21"/>
  <c r="G93" i="21"/>
  <c r="M92" i="21"/>
  <c r="L92" i="21"/>
  <c r="K92" i="21"/>
  <c r="J92" i="21"/>
  <c r="I92" i="21"/>
  <c r="H92" i="21"/>
  <c r="G92" i="21"/>
  <c r="M91" i="21"/>
  <c r="L91" i="21"/>
  <c r="K91" i="21"/>
  <c r="J91" i="21"/>
  <c r="I91" i="21"/>
  <c r="H91" i="21"/>
  <c r="G91" i="21"/>
  <c r="M90" i="21"/>
  <c r="L90" i="21"/>
  <c r="K90" i="21"/>
  <c r="J90" i="21"/>
  <c r="I90" i="21"/>
  <c r="H90" i="21"/>
  <c r="G90" i="21"/>
  <c r="M89" i="21"/>
  <c r="L89" i="21"/>
  <c r="K89" i="21"/>
  <c r="J89" i="21"/>
  <c r="I89" i="21"/>
  <c r="H89" i="21"/>
  <c r="G89" i="21"/>
  <c r="M88" i="21"/>
  <c r="L88" i="21"/>
  <c r="K88" i="21"/>
  <c r="J88" i="21"/>
  <c r="I88" i="21"/>
  <c r="H88" i="21"/>
  <c r="G88" i="21"/>
  <c r="M87" i="21"/>
  <c r="L87" i="21"/>
  <c r="K87" i="21"/>
  <c r="J87" i="21"/>
  <c r="I87" i="21"/>
  <c r="H87" i="21"/>
  <c r="G87" i="21"/>
  <c r="M86" i="21"/>
  <c r="L86" i="21"/>
  <c r="K86" i="21"/>
  <c r="J86" i="21"/>
  <c r="I86" i="21"/>
  <c r="H86" i="21"/>
  <c r="G86" i="21"/>
  <c r="M85" i="21"/>
  <c r="L85" i="21"/>
  <c r="K85" i="21"/>
  <c r="J85" i="21"/>
  <c r="I85" i="21"/>
  <c r="H85" i="21"/>
  <c r="G85" i="21"/>
  <c r="M84" i="21"/>
  <c r="L84" i="21"/>
  <c r="K84" i="21"/>
  <c r="J84" i="21"/>
  <c r="I84" i="21"/>
  <c r="H84" i="21"/>
  <c r="G84" i="21"/>
  <c r="M83" i="21"/>
  <c r="L83" i="21"/>
  <c r="K83" i="21"/>
  <c r="J83" i="21"/>
  <c r="I83" i="21"/>
  <c r="H83" i="21"/>
  <c r="G83" i="21"/>
  <c r="M82" i="21"/>
  <c r="L82" i="21"/>
  <c r="K82" i="21"/>
  <c r="J82" i="21"/>
  <c r="I82" i="21"/>
  <c r="H82" i="21"/>
  <c r="G82" i="21"/>
  <c r="M81" i="21"/>
  <c r="L81" i="21"/>
  <c r="K81" i="21"/>
  <c r="J81" i="21"/>
  <c r="I81" i="21"/>
  <c r="H81" i="21"/>
  <c r="G81" i="21"/>
  <c r="M80" i="21"/>
  <c r="L80" i="21"/>
  <c r="K80" i="21"/>
  <c r="J80" i="21"/>
  <c r="I80" i="21"/>
  <c r="H80" i="21"/>
  <c r="G80" i="21"/>
  <c r="M79" i="21"/>
  <c r="L79" i="21"/>
  <c r="K79" i="21"/>
  <c r="J79" i="21"/>
  <c r="I79" i="21"/>
  <c r="H79" i="21"/>
  <c r="G79" i="21"/>
  <c r="M78" i="21"/>
  <c r="L78" i="21"/>
  <c r="K78" i="21"/>
  <c r="J78" i="21"/>
  <c r="I78" i="21"/>
  <c r="H78" i="21"/>
  <c r="G78" i="21"/>
  <c r="M77" i="21"/>
  <c r="L77" i="21"/>
  <c r="K77" i="21"/>
  <c r="J77" i="21"/>
  <c r="I77" i="21"/>
  <c r="H77" i="21"/>
  <c r="G77" i="21"/>
  <c r="M76" i="21"/>
  <c r="L76" i="21"/>
  <c r="K76" i="21"/>
  <c r="J76" i="21"/>
  <c r="I76" i="21"/>
  <c r="H76" i="21"/>
  <c r="G76" i="21"/>
  <c r="M75" i="21"/>
  <c r="L75" i="21"/>
  <c r="K75" i="21"/>
  <c r="J75" i="21"/>
  <c r="I75" i="21"/>
  <c r="H75" i="21"/>
  <c r="G75" i="21"/>
  <c r="M74" i="21"/>
  <c r="L74" i="21"/>
  <c r="K74" i="21"/>
  <c r="J74" i="21"/>
  <c r="I74" i="21"/>
  <c r="H74" i="21"/>
  <c r="G74" i="21"/>
  <c r="M73" i="21"/>
  <c r="L73" i="21"/>
  <c r="K73" i="21"/>
  <c r="J73" i="21"/>
  <c r="I73" i="21"/>
  <c r="H73" i="21"/>
  <c r="G73" i="21"/>
  <c r="M72" i="21"/>
  <c r="L72" i="21"/>
  <c r="K72" i="21"/>
  <c r="J72" i="21"/>
  <c r="I72" i="21"/>
  <c r="H72" i="21"/>
  <c r="G72" i="21"/>
  <c r="M71" i="21"/>
  <c r="L71" i="21"/>
  <c r="K71" i="21"/>
  <c r="J71" i="21"/>
  <c r="I71" i="21"/>
  <c r="H71" i="21"/>
  <c r="G71" i="21"/>
  <c r="M70" i="21"/>
  <c r="L70" i="21"/>
  <c r="K70" i="21"/>
  <c r="J70" i="21"/>
  <c r="I70" i="21"/>
  <c r="H70" i="21"/>
  <c r="G70" i="21"/>
  <c r="M69" i="21"/>
  <c r="L69" i="21"/>
  <c r="K69" i="21"/>
  <c r="J69" i="21"/>
  <c r="I69" i="21"/>
  <c r="H69" i="21"/>
  <c r="G69" i="21"/>
  <c r="M68" i="21"/>
  <c r="L68" i="21"/>
  <c r="K68" i="21"/>
  <c r="J68" i="21"/>
  <c r="I68" i="21"/>
  <c r="H68" i="21"/>
  <c r="G68" i="21"/>
  <c r="M67" i="21"/>
  <c r="L67" i="21"/>
  <c r="K67" i="21"/>
  <c r="J67" i="21"/>
  <c r="I67" i="21"/>
  <c r="H67" i="21"/>
  <c r="G67" i="21"/>
  <c r="M66" i="21"/>
  <c r="L66" i="21"/>
  <c r="K66" i="21"/>
  <c r="J66" i="21"/>
  <c r="I66" i="21"/>
  <c r="H66" i="21"/>
  <c r="G66" i="21"/>
  <c r="M65" i="21"/>
  <c r="L65" i="21"/>
  <c r="K65" i="21"/>
  <c r="J65" i="21"/>
  <c r="I65" i="21"/>
  <c r="H65" i="21"/>
  <c r="G65" i="21"/>
  <c r="M64" i="21"/>
  <c r="L64" i="21"/>
  <c r="K64" i="21"/>
  <c r="J64" i="21"/>
  <c r="I64" i="21"/>
  <c r="H64" i="21"/>
  <c r="G64" i="21"/>
  <c r="M63" i="21"/>
  <c r="L63" i="21"/>
  <c r="K63" i="21"/>
  <c r="J63" i="21"/>
  <c r="I63" i="21"/>
  <c r="H63" i="21"/>
  <c r="G63" i="21"/>
  <c r="M62" i="21"/>
  <c r="L62" i="21"/>
  <c r="K62" i="21"/>
  <c r="J62" i="21"/>
  <c r="I62" i="21"/>
  <c r="H62" i="21"/>
  <c r="G62" i="21"/>
  <c r="M61" i="21"/>
  <c r="L61" i="21"/>
  <c r="K61" i="21"/>
  <c r="J61" i="21"/>
  <c r="I61" i="21"/>
  <c r="H61" i="21"/>
  <c r="G61" i="21"/>
  <c r="M60" i="21"/>
  <c r="L60" i="21"/>
  <c r="K60" i="21"/>
  <c r="J60" i="21"/>
  <c r="I60" i="21"/>
  <c r="H60" i="21"/>
  <c r="G60" i="21"/>
  <c r="M59" i="21"/>
  <c r="L59" i="21"/>
  <c r="K59" i="21"/>
  <c r="J59" i="21"/>
  <c r="I59" i="21"/>
  <c r="H59" i="21"/>
  <c r="G59" i="21"/>
  <c r="M58" i="21"/>
  <c r="L58" i="21"/>
  <c r="K58" i="21"/>
  <c r="J58" i="21"/>
  <c r="I58" i="21"/>
  <c r="H58" i="21"/>
  <c r="G58" i="21"/>
  <c r="M57" i="21"/>
  <c r="L57" i="21"/>
  <c r="K57" i="21"/>
  <c r="J57" i="21"/>
  <c r="I57" i="21"/>
  <c r="H57" i="21"/>
  <c r="G57" i="21"/>
  <c r="M56" i="21"/>
  <c r="L56" i="21"/>
  <c r="K56" i="21"/>
  <c r="J56" i="21"/>
  <c r="I56" i="21"/>
  <c r="H56" i="21"/>
  <c r="G56" i="21"/>
  <c r="M55" i="21"/>
  <c r="L55" i="21"/>
  <c r="K55" i="21"/>
  <c r="J55" i="21"/>
  <c r="I55" i="21"/>
  <c r="H55" i="21"/>
  <c r="G55" i="21"/>
  <c r="M54" i="21"/>
  <c r="L54" i="21"/>
  <c r="K54" i="21"/>
  <c r="J54" i="21"/>
  <c r="I54" i="21"/>
  <c r="H54" i="21"/>
  <c r="G54" i="21"/>
  <c r="M53" i="21"/>
  <c r="L53" i="21"/>
  <c r="K53" i="21"/>
  <c r="J53" i="21"/>
  <c r="I53" i="21"/>
  <c r="H53" i="21"/>
  <c r="G53" i="21"/>
  <c r="M52" i="21"/>
  <c r="L52" i="21"/>
  <c r="K52" i="21"/>
  <c r="J52" i="21"/>
  <c r="I52" i="21"/>
  <c r="H52" i="21"/>
  <c r="G52" i="21"/>
  <c r="M51" i="21"/>
  <c r="L51" i="21"/>
  <c r="K51" i="21"/>
  <c r="J51" i="21"/>
  <c r="I51" i="21"/>
  <c r="H51" i="21"/>
  <c r="G51" i="21"/>
  <c r="M50" i="21"/>
  <c r="L50" i="21"/>
  <c r="K50" i="21"/>
  <c r="J50" i="21"/>
  <c r="I50" i="21"/>
  <c r="H50" i="21"/>
  <c r="G50" i="21"/>
  <c r="M49" i="21"/>
  <c r="L49" i="21"/>
  <c r="K49" i="21"/>
  <c r="J49" i="21"/>
  <c r="I49" i="21"/>
  <c r="H49" i="21"/>
  <c r="G49" i="21"/>
  <c r="M48" i="21"/>
  <c r="L48" i="21"/>
  <c r="K48" i="21"/>
  <c r="J48" i="21"/>
  <c r="I48" i="21"/>
  <c r="H48" i="21"/>
  <c r="G48" i="21"/>
  <c r="M47" i="21"/>
  <c r="L47" i="21"/>
  <c r="K47" i="21"/>
  <c r="J47" i="21"/>
  <c r="I47" i="21"/>
  <c r="H47" i="21"/>
  <c r="G47" i="21"/>
  <c r="M46" i="21"/>
  <c r="L46" i="21"/>
  <c r="K46" i="21"/>
  <c r="J46" i="21"/>
  <c r="I46" i="21"/>
  <c r="H46" i="21"/>
  <c r="G46" i="21"/>
  <c r="M45" i="21"/>
  <c r="L45" i="21"/>
  <c r="K45" i="21"/>
  <c r="J45" i="21"/>
  <c r="I45" i="21"/>
  <c r="H45" i="21"/>
  <c r="G45" i="21"/>
  <c r="M44" i="21"/>
  <c r="L44" i="21"/>
  <c r="K44" i="21"/>
  <c r="J44" i="21"/>
  <c r="I44" i="21"/>
  <c r="H44" i="21"/>
  <c r="G44" i="21"/>
  <c r="M43" i="21"/>
  <c r="L43" i="21"/>
  <c r="K43" i="21"/>
  <c r="J43" i="21"/>
  <c r="I43" i="21"/>
  <c r="H43" i="21"/>
  <c r="G43" i="21"/>
  <c r="M42" i="21"/>
  <c r="L42" i="21"/>
  <c r="K42" i="21"/>
  <c r="J42" i="21"/>
  <c r="I42" i="21"/>
  <c r="H42" i="21"/>
  <c r="G42" i="21"/>
  <c r="M41" i="21"/>
  <c r="L41" i="21"/>
  <c r="K41" i="21"/>
  <c r="J41" i="21"/>
  <c r="I41" i="21"/>
  <c r="H41" i="21"/>
  <c r="G41" i="21"/>
  <c r="M40" i="21"/>
  <c r="L40" i="21"/>
  <c r="K40" i="21"/>
  <c r="J40" i="21"/>
  <c r="I40" i="21"/>
  <c r="H40" i="21"/>
  <c r="G40" i="21"/>
  <c r="M39" i="21"/>
  <c r="L39" i="21"/>
  <c r="K39" i="21"/>
  <c r="J39" i="21"/>
  <c r="I39" i="21"/>
  <c r="H39" i="21"/>
  <c r="G39" i="21"/>
  <c r="M38" i="21"/>
  <c r="L38" i="21"/>
  <c r="K38" i="21"/>
  <c r="J38" i="21"/>
  <c r="I38" i="21"/>
  <c r="H38" i="21"/>
  <c r="G38" i="21"/>
  <c r="M37" i="21"/>
  <c r="L37" i="21"/>
  <c r="K37" i="21"/>
  <c r="J37" i="21"/>
  <c r="I37" i="21"/>
  <c r="H37" i="21"/>
  <c r="G37" i="21"/>
  <c r="M36" i="21"/>
  <c r="L36" i="21"/>
  <c r="K36" i="21"/>
  <c r="J36" i="21"/>
  <c r="I36" i="21"/>
  <c r="H36" i="21"/>
  <c r="G36" i="21"/>
  <c r="M35" i="21"/>
  <c r="L35" i="21"/>
  <c r="K35" i="21"/>
  <c r="J35" i="21"/>
  <c r="I35" i="21"/>
  <c r="H35" i="21"/>
  <c r="G35" i="21"/>
  <c r="M34" i="21"/>
  <c r="L34" i="21"/>
  <c r="K34" i="21"/>
  <c r="J34" i="21"/>
  <c r="I34" i="21"/>
  <c r="H34" i="21"/>
  <c r="G34" i="21"/>
  <c r="M33" i="21"/>
  <c r="L33" i="21"/>
  <c r="K33" i="21"/>
  <c r="J33" i="21"/>
  <c r="I33" i="21"/>
  <c r="H33" i="21"/>
  <c r="G33" i="21"/>
  <c r="M32" i="21"/>
  <c r="L32" i="21"/>
  <c r="K32" i="21"/>
  <c r="J32" i="21"/>
  <c r="I32" i="21"/>
  <c r="H32" i="21"/>
  <c r="G32" i="21"/>
  <c r="M31" i="21"/>
  <c r="L31" i="21"/>
  <c r="K31" i="21"/>
  <c r="J31" i="21"/>
  <c r="I31" i="21"/>
  <c r="H31" i="21"/>
  <c r="G31" i="21"/>
  <c r="M30" i="21"/>
  <c r="L30" i="21"/>
  <c r="K30" i="21"/>
  <c r="J30" i="21"/>
  <c r="I30" i="21"/>
  <c r="H30" i="21"/>
  <c r="G30" i="21"/>
  <c r="M29" i="21"/>
  <c r="L29" i="21"/>
  <c r="K29" i="21"/>
  <c r="J29" i="21"/>
  <c r="I29" i="21"/>
  <c r="H29" i="21"/>
  <c r="G29" i="21"/>
  <c r="M28" i="21"/>
  <c r="L28" i="21"/>
  <c r="K28" i="21"/>
  <c r="J28" i="21"/>
  <c r="I28" i="21"/>
  <c r="H28" i="21"/>
  <c r="G28" i="21"/>
  <c r="M27" i="21"/>
  <c r="L27" i="21"/>
  <c r="K27" i="21"/>
  <c r="J27" i="21"/>
  <c r="I27" i="21"/>
  <c r="H27" i="21"/>
  <c r="G27" i="21"/>
  <c r="M26" i="21"/>
  <c r="L26" i="21"/>
  <c r="K26" i="21"/>
  <c r="J26" i="21"/>
  <c r="I26" i="21"/>
  <c r="H26" i="21"/>
  <c r="G26" i="21"/>
  <c r="M25" i="21"/>
  <c r="L25" i="21"/>
  <c r="K25" i="21"/>
  <c r="J25" i="21"/>
  <c r="I25" i="21"/>
  <c r="H25" i="21"/>
  <c r="G25" i="21"/>
  <c r="M24" i="21"/>
  <c r="L24" i="21"/>
  <c r="K24" i="21"/>
  <c r="J24" i="21"/>
  <c r="I24" i="21"/>
  <c r="H24" i="21"/>
  <c r="G24" i="21"/>
  <c r="M23" i="21"/>
  <c r="L23" i="21"/>
  <c r="K23" i="21"/>
  <c r="J23" i="21"/>
  <c r="I23" i="21"/>
  <c r="H23" i="21"/>
  <c r="G23" i="21"/>
  <c r="M22" i="21"/>
  <c r="L22" i="21"/>
  <c r="K22" i="21"/>
  <c r="J22" i="21"/>
  <c r="I22" i="21"/>
  <c r="H22" i="21"/>
  <c r="G22" i="21"/>
  <c r="M21" i="21"/>
  <c r="L21" i="21"/>
  <c r="K21" i="21"/>
  <c r="J21" i="21"/>
  <c r="I21" i="21"/>
  <c r="H21" i="21"/>
  <c r="G21" i="21"/>
  <c r="M20" i="21"/>
  <c r="L20" i="21"/>
  <c r="K20" i="21"/>
  <c r="J20" i="21"/>
  <c r="I20" i="21"/>
  <c r="H20" i="21"/>
  <c r="G20" i="21"/>
  <c r="M19" i="21"/>
  <c r="L19" i="21"/>
  <c r="K19" i="21"/>
  <c r="J19" i="21"/>
  <c r="I19" i="21"/>
  <c r="H19" i="21"/>
  <c r="G19" i="21"/>
  <c r="M18" i="21"/>
  <c r="L18" i="21"/>
  <c r="K18" i="21"/>
  <c r="J18" i="21"/>
  <c r="I18" i="21"/>
  <c r="H18" i="21"/>
  <c r="G18" i="21"/>
  <c r="M17" i="21"/>
  <c r="L17" i="21"/>
  <c r="K17" i="21"/>
  <c r="J17" i="21"/>
  <c r="I17" i="21"/>
  <c r="H17" i="21"/>
  <c r="G17" i="21"/>
  <c r="M16" i="21"/>
  <c r="L16" i="21"/>
  <c r="K16" i="21"/>
  <c r="J16" i="21"/>
  <c r="I16" i="21"/>
  <c r="H16" i="21"/>
  <c r="G16" i="21"/>
  <c r="M15" i="21"/>
  <c r="L15" i="21"/>
  <c r="K15" i="21"/>
  <c r="J15" i="21"/>
  <c r="I15" i="21"/>
  <c r="H15" i="21"/>
  <c r="G15" i="21"/>
  <c r="M14" i="21"/>
  <c r="L14" i="21"/>
  <c r="K14" i="21"/>
  <c r="J14" i="21"/>
  <c r="I14" i="21"/>
  <c r="H14" i="21"/>
  <c r="G14" i="21"/>
  <c r="M13" i="21"/>
  <c r="L13" i="21"/>
  <c r="K13" i="21"/>
  <c r="J13" i="21"/>
  <c r="I13" i="21"/>
  <c r="H13" i="21"/>
  <c r="G13" i="21"/>
  <c r="M12" i="21"/>
  <c r="L12" i="21"/>
  <c r="K12" i="21"/>
  <c r="J12" i="21"/>
  <c r="I12" i="21"/>
  <c r="H12" i="21"/>
  <c r="G12" i="21"/>
  <c r="M11" i="21"/>
  <c r="L11" i="21"/>
  <c r="K11" i="21"/>
  <c r="J11" i="21"/>
  <c r="I11" i="21"/>
  <c r="H11" i="21"/>
  <c r="G11" i="21"/>
  <c r="M10" i="21"/>
  <c r="L10" i="21"/>
  <c r="K10" i="21"/>
  <c r="J10" i="21"/>
  <c r="I10" i="21"/>
  <c r="H10" i="21"/>
  <c r="G10" i="21"/>
  <c r="M9" i="21"/>
  <c r="L9" i="21"/>
  <c r="K9" i="21"/>
  <c r="J9" i="21"/>
  <c r="I9" i="21"/>
  <c r="H9" i="21"/>
  <c r="G9" i="21"/>
  <c r="M8" i="21"/>
  <c r="L8" i="21"/>
  <c r="K8" i="21"/>
  <c r="J8" i="21"/>
  <c r="I8" i="21"/>
  <c r="H8" i="21"/>
  <c r="G8" i="21"/>
  <c r="M7" i="21"/>
  <c r="L7" i="21"/>
  <c r="K7" i="21"/>
  <c r="J7" i="21"/>
  <c r="I7" i="21"/>
  <c r="H7" i="21"/>
  <c r="G7" i="21"/>
  <c r="M6" i="21"/>
  <c r="L6" i="21"/>
  <c r="K6" i="21"/>
  <c r="J6" i="21"/>
  <c r="I6" i="21"/>
  <c r="H6" i="21"/>
  <c r="G6" i="21"/>
  <c r="M5" i="21"/>
  <c r="L5" i="21"/>
  <c r="K5" i="21"/>
  <c r="J5" i="21"/>
  <c r="I5" i="21"/>
  <c r="H5" i="21"/>
  <c r="G5" i="21"/>
  <c r="M4" i="21"/>
  <c r="L4" i="21"/>
  <c r="K4" i="21"/>
  <c r="J4" i="21"/>
  <c r="I4" i="21"/>
  <c r="H4" i="21"/>
  <c r="G4" i="21"/>
  <c r="M3" i="21"/>
  <c r="L3" i="21"/>
  <c r="K3" i="21"/>
  <c r="J3" i="21"/>
  <c r="I3" i="21"/>
  <c r="H3" i="21"/>
  <c r="G3" i="21"/>
  <c r="M2" i="21"/>
  <c r="L2" i="21"/>
  <c r="K2" i="21"/>
  <c r="J2" i="21"/>
  <c r="I2" i="21"/>
  <c r="H2" i="21"/>
  <c r="G2" i="21"/>
</calcChain>
</file>

<file path=xl/sharedStrings.xml><?xml version="1.0" encoding="utf-8"?>
<sst xmlns="http://schemas.openxmlformats.org/spreadsheetml/2006/main" count="912" uniqueCount="264">
  <si>
    <t>Product</t>
  </si>
  <si>
    <t>Current price</t>
  </si>
  <si>
    <t>old price</t>
  </si>
  <si>
    <t>Discount</t>
  </si>
  <si>
    <t>Review</t>
  </si>
  <si>
    <t>115  Piece Set Of Multifunctional Precision Screwdrivers</t>
  </si>
  <si>
    <t>KSh 1,525</t>
  </si>
  <si>
    <t>4.5 out of 5</t>
  </si>
  <si>
    <t>Metal Decorative Hooks Key Hangers Entryway Wall Hooks Towel Hooks - Home</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</si>
  <si>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</si>
  <si>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</si>
  <si>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</si>
  <si>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</si>
  <si>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</si>
  <si>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</si>
  <si>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</si>
  <si>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</si>
  <si>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</si>
  <si>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</si>
  <si>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</si>
  <si>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2,356</t>
  </si>
  <si>
    <t>4.8 out of 5</t>
  </si>
  <si>
    <t>220V 60W Electric Soldering Iron Kits With Tools, Tips, And Multimeter</t>
  </si>
  <si>
    <t>KSh 3,290</t>
  </si>
  <si>
    <t>4 out of 5</t>
  </si>
  <si>
    <t>137 Pieces Cake Decorating Tool Set Baking Supplies</t>
  </si>
  <si>
    <t>KSh 3,032</t>
  </si>
  <si>
    <t>Desk Foldable Fan Adjustable Fan Strong Wind 3 Gear Usb</t>
  </si>
  <si>
    <t>LASA FOLDING TABLE SERVING STAND</t>
  </si>
  <si>
    <t>KSh 2,800</t>
  </si>
  <si>
    <t>13 In 1 Home Repair Tools Box Kit Set</t>
  </si>
  <si>
    <t>KSh 2,929</t>
  </si>
  <si>
    <t>3.8 out of 5</t>
  </si>
  <si>
    <t>Genebre 115 In 1 Screwdriver Repairing Tool Set For IPhone Cellphone Hand Tool</t>
  </si>
  <si>
    <t>100 Pcs Crochet Hook Tool Set Knitting Hook Set With Box</t>
  </si>
  <si>
    <t>KSh 1,500</t>
  </si>
  <si>
    <t>40cm Gold DIY Acrylic Wall Sticker Clock</t>
  </si>
  <si>
    <t>KSh 1,035</t>
  </si>
  <si>
    <t>LASA Digital Thermometer And Hydrometer</t>
  </si>
  <si>
    <t>KSh 860</t>
  </si>
  <si>
    <t>Multifunction Laser Level With Adjustment Tripod</t>
  </si>
  <si>
    <t>4.2 out of 5</t>
  </si>
  <si>
    <t>Anti-Skid Absorbent Insulation Coaster  For Home Office</t>
  </si>
  <si>
    <t>KSh 684</t>
  </si>
  <si>
    <t>5 out of 5</t>
  </si>
  <si>
    <t>Peacock  Throw Pillow Cushion Case For Home Car</t>
  </si>
  <si>
    <t>KSh 360</t>
  </si>
  <si>
    <t>LASA Aluminum Folding Truck Hand Cart - 68kg Max</t>
  </si>
  <si>
    <t>KSh 3,971</t>
  </si>
  <si>
    <t>LED Wall Digital Alarm Clock Study Home 12 / 24H Clock Calendar</t>
  </si>
  <si>
    <t>KSh 3,699</t>
  </si>
  <si>
    <t>3D Waterproof EVA Plastic Shower Curtain 1.8*2Mtrs</t>
  </si>
  <si>
    <t>KSh 1,966</t>
  </si>
  <si>
    <t>3PCS Single Head Knitting Crochet Sweater Needle Set</t>
  </si>
  <si>
    <t>KSh 80</t>
  </si>
  <si>
    <t>3.3 out of 5</t>
  </si>
  <si>
    <t>4pcs Bathroom/Kitchen Towel Rack,Roll Paper Holder,Towel Bars,Hook</t>
  </si>
  <si>
    <t>KSh 3,220</t>
  </si>
  <si>
    <t>LED Romantic Spaceship Starry Sky Projector,Children's Bedroom Night Light-Blue</t>
  </si>
  <si>
    <t>KSh 1,350</t>
  </si>
  <si>
    <t>Foldable Overbed Table/Desk</t>
  </si>
  <si>
    <t>KSh 2,150</t>
  </si>
  <si>
    <t>4.4 out of 5</t>
  </si>
  <si>
    <t>LASA 3 Tier Bamboo Shoe Bench Storage Shelf</t>
  </si>
  <si>
    <t>KSh 4,500</t>
  </si>
  <si>
    <t>4.3 out of 5</t>
  </si>
  <si>
    <t>Electronic Digital Display Vernier Caliper</t>
  </si>
  <si>
    <t>KSh 647</t>
  </si>
  <si>
    <t>Portable Wardrobe Nonwoven With 3 Hanging Rods And 6 Storage Shelves</t>
  </si>
  <si>
    <t>KSh 3,520</t>
  </si>
  <si>
    <t>12 Litre Black Insulated Lunch Box</t>
  </si>
  <si>
    <t>KSh 1,990</t>
  </si>
  <si>
    <t>52 Pieces Cake Decorating Tool Set Gift Kit Baking Supplies</t>
  </si>
  <si>
    <t>MultiFunctional Storage Rack Multi-layer Bookshelf</t>
  </si>
  <si>
    <t>KSh 4,080</t>
  </si>
  <si>
    <t>Exfoliate And Exfoliate Face Towel - Black</t>
  </si>
  <si>
    <t>KSh 382</t>
  </si>
  <si>
    <t>12 Litre Insulated Lunch Box Grey</t>
  </si>
  <si>
    <t>KSh 1,490</t>
  </si>
  <si>
    <t>LED Eye Protection  Desk Lamp , Study, Reading, USB Fan - Double Pen Holder</t>
  </si>
  <si>
    <t>KSh 3,490</t>
  </si>
  <si>
    <t>53Pcs/Set Yarn Knitting Crochet Hooks With Bag - Fortune Cat</t>
  </si>
  <si>
    <t>KSh 2,650</t>
  </si>
  <si>
    <t>53 Pieces/Set Yarn Knitting Crochet Hooks With Bag - Pansies</t>
  </si>
  <si>
    <t>KSh 2,699</t>
  </si>
  <si>
    <t>DIY File Folder, Office Drawer File Holder, Pen Holder, Desktop Storage Rack</t>
  </si>
  <si>
    <t>KSh 2,690</t>
  </si>
  <si>
    <t>Classic Black Cat Cotton Hemp Pillow Case For Home Car</t>
  </si>
  <si>
    <t>Punch-free Great Load Bearing Bathroom Storage Rack Wall Shelf-White</t>
  </si>
  <si>
    <t>KSh 656</t>
  </si>
  <si>
    <t>1/2/3 Seater Elastic Sofa Cover,Living Room/Home Decor Chair Cover-Grey</t>
  </si>
  <si>
    <t>LASA Stainless Steel Double Wall Mount Soap Dispenser - 500ml</t>
  </si>
  <si>
    <t>KSh 4,471</t>
  </si>
  <si>
    <t>4M Float Switch Water Level Controller -Water Tank</t>
  </si>
  <si>
    <t>KSh 931</t>
  </si>
  <si>
    <t>Modern Sofa Throw Pillow Cover-45x45cm-Blue&amp;Red</t>
  </si>
  <si>
    <t>KSh 476</t>
  </si>
  <si>
    <t>Balloon Insert, Birthday Party Balloon Set, PU Leather</t>
  </si>
  <si>
    <t>KSh 1,060</t>
  </si>
  <si>
    <t>Shower Cap Wide Elastic Band Cover Reusable Bashroom Cap</t>
  </si>
  <si>
    <t>KSh 2,169</t>
  </si>
  <si>
    <t>Christmas Elk Fence Yard Lawn Decorations Cute For Holidays</t>
  </si>
  <si>
    <t>KSh 2,000</t>
  </si>
  <si>
    <t>60W Hot Melt Glue Sprayer - Efficient And Stable Glue Dispensing</t>
  </si>
  <si>
    <t>KSh 1,785</t>
  </si>
  <si>
    <t>Car Phone Charging Stand</t>
  </si>
  <si>
    <t>KSh 1,316</t>
  </si>
  <si>
    <t>2pcs Solar Street Light Flood Light Outdoor</t>
  </si>
  <si>
    <t>KSh 1,200</t>
  </si>
  <si>
    <t>KSh 1,950</t>
  </si>
  <si>
    <t>Creative Owl Shape Keychain Black</t>
  </si>
  <si>
    <t>KSh 504</t>
  </si>
  <si>
    <t>Brush &amp; Paintbrush Cleaning Tool Pink</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</si>
  <si>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</si>
  <si>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</si>
  <si>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</si>
  <si>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</si>
  <si>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</si>
  <si>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</si>
  <si>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</si>
  <si>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1,499</t>
  </si>
  <si>
    <t>Cute Christmas Fence Garden Decorations For Holiday Home</t>
  </si>
  <si>
    <t>KSh 1,343</t>
  </si>
  <si>
    <t>Simple Metal Dog Art Sculpture Decoration For Home Office</t>
  </si>
  <si>
    <t>KSh 900</t>
  </si>
  <si>
    <t>Christmas Fence Garden Decorations Outdoor For Holiday Home</t>
  </si>
  <si>
    <t>Angle Measuring Tool Full Metal Multi Angle Measuring Tool</t>
  </si>
  <si>
    <t>KSh 1,567</t>
  </si>
  <si>
    <t>12V 19500rpm Handheld Electric Angle Grinder Tool - UK - Yellow/Black</t>
  </si>
  <si>
    <t>KSh 3,810</t>
  </si>
  <si>
    <t>KSh 896</t>
  </si>
  <si>
    <t>5 Pieces/set Of Stainless Steel Induction Cooker Pots</t>
  </si>
  <si>
    <t>KSh 2,500</t>
  </si>
  <si>
    <t>2.5 out of 5</t>
  </si>
  <si>
    <t>Mythco 120COB Solar Wall Ligt With Motion Sensor And Remote Control 3 Modes</t>
  </si>
  <si>
    <t>KSh 986</t>
  </si>
  <si>
    <t>3 out of 5</t>
  </si>
  <si>
    <t>5-PCS Stainless Steel Cooking Pot Set With Steamed Slices</t>
  </si>
  <si>
    <t>KSh 4,700</t>
  </si>
  <si>
    <t>2.1 out of 5</t>
  </si>
  <si>
    <t>120W Cordless Vacuum Cleaners Handheld Electric Vacuum Cleaner</t>
  </si>
  <si>
    <t>KSh 873</t>
  </si>
  <si>
    <t>2.8 out of 5</t>
  </si>
  <si>
    <t>Intelligent  LED Body Sensor Wireless Lighting Night Light USB</t>
  </si>
  <si>
    <t>KSh 680</t>
  </si>
  <si>
    <t>2.7 out of 5</t>
  </si>
  <si>
    <t>VIC Wireless Vacuum Cleaner Dual Use For Home And Car 120W High Power Powerful</t>
  </si>
  <si>
    <t>KSh 1,555</t>
  </si>
  <si>
    <t>2.9 out of 5</t>
  </si>
  <si>
    <t>Artificial Potted Flowers Room Decorative Flowers (2 Pieces)</t>
  </si>
  <si>
    <t>KSh 1,814</t>
  </si>
  <si>
    <t>2.2 out of 5</t>
  </si>
  <si>
    <t>380ML USB Rechargeable Portable Small Blenders And Juicers</t>
  </si>
  <si>
    <t>2.3 out of 5</t>
  </si>
  <si>
    <t>32PCS Portable Cordless Drill Set With Cyclic Battery Drive -26 Variable Speed</t>
  </si>
  <si>
    <t>KSh 6,143</t>
  </si>
  <si>
    <t>Agapeon Toothbrush Holder And Toothpaste Dispenser</t>
  </si>
  <si>
    <t>KSh 700</t>
  </si>
  <si>
    <t>2.6 out of 5</t>
  </si>
  <si>
    <t>Large Lazy Inflatable Sofa Chairs PVC Lounger Seat Bag</t>
  </si>
  <si>
    <t>KSh 3,240</t>
  </si>
  <si>
    <t>Watercolour Gold Foil Textured Print Pillow Cover</t>
  </si>
  <si>
    <t>KSh 345</t>
  </si>
  <si>
    <t>KSh 602</t>
  </si>
  <si>
    <t>Wrought Iron Bathroom Shelf Wall Mounted Free Punch Toilet Rack</t>
  </si>
  <si>
    <t>KSh 899</t>
  </si>
  <si>
    <t>7-piece Set Of Storage Bags, Travel Storage Bags, Shoe Bags</t>
  </si>
  <si>
    <t>Electric LED UV Mosquito Killer Lamp, Outdoor/Indoor Fly Killer Trap Light -USB</t>
  </si>
  <si>
    <t>KSh 2,988</t>
  </si>
  <si>
    <t>2PCS/LOT Solar LED Outdoor Intelligent Light Controlled Wall Lamp</t>
  </si>
  <si>
    <t>KSh 1,485</t>
  </si>
  <si>
    <t>3PCS Rotary Scraper Thermomix For Kitchen</t>
  </si>
  <si>
    <t>Cushion Silicone Butt Cushion Summer Ice Cushion Honeycomb Gel Cushion</t>
  </si>
  <si>
    <t>KSh 1,799</t>
  </si>
  <si>
    <t>7PCS Silicone Thumb Knife Finger Protector Vegetable Harvesting Knife</t>
  </si>
  <si>
    <t>KSh 450</t>
  </si>
  <si>
    <t>Memory Foam Neck Pillow Cover, With Pillow Core - 50*30cm</t>
  </si>
  <si>
    <t>Bedroom Simple Floor Hanging Clothes Rack Single Pole Hat Rack - White</t>
  </si>
  <si>
    <t>KSh 1,920</t>
  </si>
  <si>
    <t>5m Waterproof Spherical LED String Lights Outdoor Ball Chain Lights Party Lighting Decoration Adjustable</t>
  </si>
  <si>
    <t>KSh 2,290</t>
  </si>
  <si>
    <t>2 Pairs Cowhide Split Leather Work Gloves.32℉ Or Above Welding Gloves</t>
  </si>
  <si>
    <t>Household Pineapple Peeler Peeler</t>
  </si>
  <si>
    <t>Office Chair Lumbar Back Support Spine Posture Correction Pillow Car Cushion</t>
  </si>
  <si>
    <t>Cartoon Car Decoration Cute Individuality For Car Home Desk</t>
  </si>
  <si>
    <t>KSh 537</t>
  </si>
  <si>
    <t>Outdoor Portable Water Bottle With Medicine Box - 600ML - Black</t>
  </si>
  <si>
    <t>KSh 1,288</t>
  </si>
  <si>
    <t>Wall-Mounted Toothbrush Toothpaste Holder With Multiple Slots</t>
  </si>
  <si>
    <t>Multifunctional Hanging Storage Box Storage Bag (4 Layers)</t>
  </si>
  <si>
    <t>KSh 1,100</t>
  </si>
  <si>
    <t>Wall Clock With Hidden Safe Box</t>
  </si>
  <si>
    <t>KSh 1,700</t>
  </si>
  <si>
    <t>Portable Wine Table With Folding Round Table</t>
  </si>
  <si>
    <t>Sewing Machine Needle Threader Stitch Insertion Tool Automatic Quick Sewing</t>
  </si>
  <si>
    <t>KSh 200</t>
  </si>
  <si>
    <t>6 Layers Steel Pipe Assembling Dustproof Storage Shoe Cabinet</t>
  </si>
  <si>
    <t>2PCS Ice Silk Square Cushion Cover Pillowcases - 65x65cm</t>
  </si>
  <si>
    <t>KSh 2,400</t>
  </si>
  <si>
    <t>Wall Mount Automatic Toothpaste Dispenser Toothbrush Holder Toothpaste Squeezer</t>
  </si>
  <si>
    <t>Portable Soap Dispenser Kitchen Detergent Press Box Kitchen Tools</t>
  </si>
  <si>
    <t>4 Piece Coloured Stainless Steel Kitchenware Set</t>
  </si>
  <si>
    <t>KSh 486</t>
  </si>
  <si>
    <t>Metal Wall Clock Silver Dial Crystal Jewelry Round Home Decoration Wall Clock</t>
  </si>
  <si>
    <t>Baby Early Education Shape And Color Cognitive Training Toys</t>
  </si>
  <si>
    <t>KSh 1,029</t>
  </si>
  <si>
    <t>8in1 Screwdriver With LED Light</t>
  </si>
  <si>
    <t>KSh 1,874</t>
  </si>
  <si>
    <t>Konka Healty Electric Kettle, 24-hour Heat Preservation,1.5L,800W, White</t>
  </si>
  <si>
    <t>KSh 4,588</t>
  </si>
  <si>
    <t>9pcs Gas Mask, For Painting, Dust, Formaldehyde Grinding, Polishing</t>
  </si>
  <si>
    <t>KSh 2,420</t>
  </si>
  <si>
    <t>24 Grid Wall-mounted Sundries Organiser Fabric Closet Bag Storage Rack</t>
  </si>
  <si>
    <t>KSh 1,899</t>
  </si>
  <si>
    <t>1PC Refrigerator Food Seal Pocket Fridge Bags</t>
  </si>
  <si>
    <t>KSh 260</t>
  </si>
  <si>
    <t>LED Solar Street Light-fake Camera</t>
  </si>
  <si>
    <t>KSh 1,737</t>
  </si>
  <si>
    <t>Cartoon Embroidered Mini Towel Bear Cotton Wash Cloth Hand 4pcs</t>
  </si>
  <si>
    <t>KSh 1,810</t>
  </si>
  <si>
    <t>Shower Nozzle Cleaning Unclogging Needle Mini Crevice Small Hole Cleaning Brush</t>
  </si>
  <si>
    <t>Thickening Multipurpose Non Stick Easy To Clean Heat Resistant Spoon Pad</t>
  </si>
  <si>
    <t>6 In 1 Bottle Can Opener Multifunctional Easy Opener</t>
  </si>
  <si>
    <t>KSh 553</t>
  </si>
  <si>
    <t>Wall-mounted Sticker Punch-free Plug Fixer</t>
  </si>
  <si>
    <t>2 out of 5</t>
  </si>
  <si>
    <t>Black Simple Water Cup Wine Coaster Anti Slip Absorbent</t>
  </si>
  <si>
    <t>KSh 320</t>
  </si>
  <si>
    <t>Rating</t>
  </si>
  <si>
    <t>Rating_Clean</t>
  </si>
  <si>
    <t>Has_Rating</t>
  </si>
  <si>
    <t>Has_Review</t>
  </si>
  <si>
    <t>old price(Ksh)</t>
  </si>
  <si>
    <t>Current price(Ksh)</t>
  </si>
  <si>
    <t>Review Sentiments</t>
  </si>
  <si>
    <t>Discount Amount</t>
  </si>
  <si>
    <t>Rating Category</t>
  </si>
  <si>
    <t>Discount Category</t>
  </si>
  <si>
    <t>Average</t>
  </si>
  <si>
    <t>Row Labels</t>
  </si>
  <si>
    <t>(blank)</t>
  </si>
  <si>
    <t>Grand Total</t>
  </si>
  <si>
    <t>High Discount</t>
  </si>
  <si>
    <t>Low Discount</t>
  </si>
  <si>
    <t>Medium Discount</t>
  </si>
  <si>
    <t>Average of Rating_Clean</t>
  </si>
  <si>
    <t>Average of Current price(Ksh)</t>
  </si>
  <si>
    <t>Average of old price(Ksh)</t>
  </si>
  <si>
    <t>Average of Discount</t>
  </si>
  <si>
    <t>Max of Current price(Ksh)</t>
  </si>
  <si>
    <t>Min of Current price(Ksh)</t>
  </si>
  <si>
    <t>Excellent</t>
  </si>
  <si>
    <t>Poor</t>
  </si>
  <si>
    <t>Count of Product</t>
  </si>
  <si>
    <t>Count of Review</t>
  </si>
  <si>
    <t>Max of Rating_Clean</t>
  </si>
  <si>
    <t>Sum of Review Sentiments</t>
  </si>
  <si>
    <t>Count of Review Sentiments</t>
  </si>
  <si>
    <t>Review (Positive)</t>
  </si>
  <si>
    <t>Current Price (KSH)</t>
  </si>
  <si>
    <t>Old Price (KSH)</t>
  </si>
  <si>
    <t>KSh 2,700</t>
  </si>
  <si>
    <t>Sum of Discount</t>
  </si>
  <si>
    <t>Sum of Review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</si>
</sst>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0"/>
      <color rgb="FF000000"/>
      <name val="Roboto"/>
    </font>
    <font>
      <sz val="10"/>
      <name val="Roboto"/>
    </font>
    <font>
      <b/>
      <sz val="10"/>
      <color rgb="FF000000"/>
      <name val="Roboto"/>
    </font>
  </fonts>
  <fills count="2">
    <fill>
      <patternFill patternType="none"/>
    </fill>
    <fill>
      <patternFill patternType="gray125"/>
    </fill>
  </fills>
  <borders count="1">
    <border>
      <left/>
      <right/>
      <top/>
      <bottom/>
      <diagonal/>
    </border>
  </borders>
  <cellStyleXfs count="1">
    <xf numFmtId="0" fontId="0" fillId="0" borderId="0">
      <alignment vertical="top"/>
    </xf>
  </cellStyleXfs>
  <cellXfs count="14">
    <xf numFmtId="0" fontId="0" fillId="0" borderId="0" xfId="0">
      <alignment vertical="top"/>
    </xf>
    <xf numFmtId="9" fontId="1" fillId="0" borderId="0" xfId="0" applyNumberFormat="1" applyFont="1">
      <alignment vertical="top"/>
    </xf>
    <xf numFmtId="0" fontId="2" fillId="0" borderId="0" xfId="0" applyFont="1">
      <alignment vertical="top"/>
    </xf>
    <xf numFmtId="2" fontId="0" fillId="0" borderId="0" xfId="0" applyNumberFormat="1">
      <alignment vertical="top"/>
    </xf>
    <xf numFmtId="3" fontId="0" fillId="0" borderId="0" xfId="0" applyNumberFormat="1">
      <alignment vertical="top"/>
    </xf>
    <xf numFmtId="9" fontId="0" fillId="0" borderId="0" xfId="0" applyNumberFormat="1">
      <alignment vertical="top"/>
    </xf>
    <xf numFmtId="3" fontId="2" fillId="0" borderId="0" xfId="0" applyNumberFormat="1" applyFont="1">
      <alignment vertical="top"/>
    </xf>
    <xf numFmtId="164" fontId="2" fillId="0" borderId="0" xfId="0" applyNumberFormat="1" applyFont="1">
      <alignment vertical="top"/>
    </xf>
    <xf numFmtId="164" fontId="0" fillId="0" borderId="0" xfId="0" applyNumberFormat="1">
      <alignment vertical="top"/>
    </xf>
    <xf numFmtId="9" fontId="2" fillId="0" borderId="0" xfId="0" applyNumberFormat="1" applyFont="1">
      <alignment vertical="top"/>
    </xf>
    <xf numFmtId="0" fontId="0" fillId="0" borderId="0" xfId="0" pivotButton="1">
      <alignment vertical="top"/>
    </xf>
    <xf numFmtId="0" fontId="0" fillId="0" borderId="0" xfId="0" applyAlignment="1">
      <alignment horizontal="left" vertical="top"/>
    </xf>
    <xf numFmtId="0" fontId="0" fillId="0" borderId="0" xfId="0">
      <alignment vertical="top"/>
    </xf>
    <xf numFmtId="0" fontId="0" fillId="0" borderId="0" xfId="0" applyNumberFormat="1">
      <alignment vertical="top"/>
    </xf>
  </cellXfs>
  <cellStyles count="1">
    <cellStyle name="Normal" xfId="0" builtinId="0" customBuiltin="1"/>
  </cellStyles>
  <dxfs count="1">
    <dxf>
      <numFmt numFmtId="2" formatCode="0.00"/>
    </dxf>
  </dxfs>
  <tableStyles count="3" defaultTableStyle="TableStyleMedium2" defaultPivotStyle="PivotStyleLight16">
    <tableStyle name="Slicer Style 1" pivot="0" table="0" count="0" xr9:uid="{FD21F663-8B42-4490-893D-554E74B5E8B1}"/>
    <tableStyle name="Slicer Style 2" pivot="0" table="0" count="0" xr9:uid="{10F659D4-B8D8-41BD-B0B9-F5E3B96E9EAF}"/>
    <tableStyle name="Slicer Style 3" pivot="0" table="0" count="0" xr9:uid="{47831C60-4BEE-4673-9238-41CE295FF392}"/>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pivotCacheDefinition" Target="pivotCache/pivotCacheDefinition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Dashboard.xlsx]ProductsRating!PivotTable20</c:name>
    <c:fmtId val="35"/>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Top products by rating </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ProductsRating!$A$4:$A$14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ProductsRating!$B$4:$B$14</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9-4136-4225-8C74-3687987018EE}"/>
            </c:ext>
          </c:extLst>
        </c:ser>
        <c:dLbls>
          <c:dLblPos val="inEnd"/>
          <c:showLegendKey val="0"/>
          <c:showVal val="1"/>
          <c:showCatName val="0"/>
          <c:showSerName val="0"/>
          <c:showPercent val="0"/>
          <c:showBubbleSize val="0"/>
        </c:dLbls>
        <c:gapWidth val="115"/>
        <c:overlap val="-20"/>
        <c:axId val="1142548687"/>
        <c:axId val="1142545807"/>
      </c:barChart>
      <c:catAx>
        <c:axId val="11425486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142545807"/>
        <c:crosses val="autoZero"/>
        <c:auto val="1"/>
        <c:lblAlgn val="ctr"/>
        <c:lblOffset val="100"/>
        <c:noMultiLvlLbl val="0"/>
      </c:catAx>
      <c:valAx>
        <c:axId val="1142545807"/>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54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Dashboard.xlsx]Top Product by review!PivotTable6</c:name>
    <c:fmtId val="14"/>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Top Product by Review</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 by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 by review'!$B$4:$B$14</c:f>
              <c:numCache>
                <c:formatCode>0.0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64CA-4DDE-B1D6-A28AB39BC26E}"/>
            </c:ext>
          </c:extLst>
        </c:ser>
        <c:dLbls>
          <c:showLegendKey val="0"/>
          <c:showVal val="0"/>
          <c:showCatName val="0"/>
          <c:showSerName val="0"/>
          <c:showPercent val="0"/>
          <c:showBubbleSize val="0"/>
        </c:dLbls>
        <c:gapWidth val="115"/>
        <c:overlap val="-20"/>
        <c:axId val="1142514607"/>
        <c:axId val="1142506927"/>
      </c:barChart>
      <c:catAx>
        <c:axId val="11425146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142506927"/>
        <c:crosses val="autoZero"/>
        <c:auto val="1"/>
        <c:lblAlgn val="ctr"/>
        <c:lblOffset val="100"/>
        <c:noMultiLvlLbl val="0"/>
      </c:catAx>
      <c:valAx>
        <c:axId val="1142506927"/>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5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Dashboard.xlsx]TopDiscountProduct!PivotTable7</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 by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TopDiscountProduct!$B$3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TopDiscountProduct!$A$4:$A$14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TopDiscountProduct!$B$4:$B$14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A161-4694-A286-DD57C86FD94D}"/>
            </c:ext>
          </c:extLst>
        </c:ser>
        <c:dLbls>
          <c:showLegendKey val="0"/>
          <c:showVal val="0"/>
          <c:showCatName val="0"/>
          <c:showSerName val="0"/>
          <c:showPercent val="0"/>
          <c:showBubbleSize val="0"/>
        </c:dLbls>
        <c:gapWidth val="115"/>
        <c:overlap val="-20"/>
        <c:axId val="647117759"/>
        <c:axId val="647121119"/>
      </c:barChart>
      <c:catAx>
        <c:axId val="647117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1119"/>
        <c:crosses val="autoZero"/>
        <c:auto val="1"/>
        <c:lblAlgn val="ctr"/>
        <c:lblOffset val="100"/>
        <c:noMultiLvlLbl val="0"/>
      </c:catAx>
      <c:valAx>
        <c:axId val="64712111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1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553149606299214E-2"/>
          <c:y val="0.11574074074074074"/>
          <c:w val="0.86228718285214345"/>
          <c:h val="0.77685987168270632"/>
        </c:manualLayout>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xVal>
            <c:numRef>
              <c:f>Excel_jumia_Final!$D$2:$D$113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Excel_jumia_Final!$H$2:$H$113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6B6C-457F-9759-E3942A1E13BF}"/>
            </c:ext>
          </c:extLst>
        </c:ser>
        <c:dLbls>
          <c:showLegendKey val="0"/>
          <c:showVal val="0"/>
          <c:showCatName val="0"/>
          <c:showSerName val="0"/>
          <c:showPercent val="0"/>
          <c:showBubbleSize val="0"/>
        </c:dLbls>
        <c:axId val="960594303"/>
        <c:axId val="960596223"/>
      </c:scatterChart>
      <c:valAx>
        <c:axId val="960594303"/>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960596223"/>
        <c:crosses val="autoZero"/>
        <c:crossBetween val="midCat"/>
      </c:valAx>
      <c:valAx>
        <c:axId val="960596223"/>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96059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Rating vs Reviews</a:t>
            </a:r>
          </a:p>
        </c:rich>
      </c:tx>
      <c:layout>
        <c:manualLayout>
          <c:xMode val="edge"/>
          <c:yMode val="edge"/>
          <c:x val="0.27290828435178"/>
          <c:y val="4.199475065616797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xVal>
            <c:numRef>
              <c:f>Excel_jumia_Final!$H$2:$H$113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xVal>
          <c:yVal>
            <c:numRef>
              <c:f>Excel_jumia_Final!$I$2:$I$113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68FE-4E9F-9489-9942FCA958B3}"/>
            </c:ext>
          </c:extLst>
        </c:ser>
        <c:dLbls>
          <c:showLegendKey val="0"/>
          <c:showVal val="0"/>
          <c:showCatName val="0"/>
          <c:showSerName val="0"/>
          <c:showPercent val="0"/>
          <c:showBubbleSize val="0"/>
        </c:dLbls>
        <c:axId val="1170528207"/>
        <c:axId val="1170529647"/>
      </c:scatterChart>
      <c:valAx>
        <c:axId val="11705282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70529647"/>
        <c:crosses val="autoZero"/>
        <c:crossBetween val="midCat"/>
      </c:valAx>
      <c:valAx>
        <c:axId val="11705296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28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 by RatingCategory!PivotTable9</c:name>
    <c:fmtId val="6"/>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Products by Rating Category</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'Products by RatingCategory'!$B$3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D4-45B8-8D8C-986D89F5C5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D4-45B8-8D8C-986D89F5C5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D4-45B8-8D8C-986D89F5C53E}"/>
              </c:ext>
            </c:extLst>
          </c:dPt>
          <c:cat>
            <c:strRef>
              <c:f>'Products by RatingCategory'!$A$4:$A$7</c:f>
              <c:strCache>
                <c:ptCount val="3"/>
                <c:pt idx="0">
                  <c:v>Average</c:v>
                </c:pt>
                <c:pt idx="1">
                  <c:v>Excellent</c:v>
                </c:pt>
                <c:pt idx="2">
                  <c:v>Poor</c:v>
                </c:pt>
              </c:strCache>
            </c:strRef>
          </c:cat>
          <c:val>
            <c:numRef>
              <c:f>'Products by RatingCategory'!$B$4:$B$7</c:f>
              <c:numCache>
                <c:formatCode>General</c:formatCode>
                <c:ptCount val="3"/>
                <c:pt idx="0">
                  <c:v>22</c:v>
                </c:pt>
                <c:pt idx="1">
                  <c:v>78</c:v>
                </c:pt>
                <c:pt idx="2">
                  <c:v>12</c:v>
                </c:pt>
              </c:numCache>
            </c:numRef>
          </c:val>
          <c:extLst>
            <c:ext xmlns:c16="http://schemas.microsoft.com/office/drawing/2014/chart" uri="{C3380CC4-5D6E-409C-BE32-E72D297353CC}">
              <c16:uniqueId val="{00000006-58D4-45B8-8D8C-986D89F5C5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Dashboard.xlsx]ProductsbyDiscountCaregory!PivotTable10</c:name>
    <c:fmtId val="10"/>
  </c:pivotSource>
  <c:chart>
    <c:title>
      <c:tx>
        <c:rich>
          <a:bodyPr rot="0" spcFirstLastPara="1" vertOverflow="ellipsis" vert="horz" wrap="square" anchor="ctr" anchorCtr="1"/>
          <a:lstStyle/>
          <a:p>
            <a:pPr>
              <a:defRPr sz="1000" b="0" i="0" u="none" strike="noStrike" kern="1200" cap="all" baseline="0">
                <a:solidFill>
                  <a:schemeClr val="lt1"/>
                </a:solidFill>
                <a:latin typeface="+mn-lt"/>
                <a:ea typeface="+mn-ea"/>
                <a:cs typeface="+mn-cs"/>
              </a:defRPr>
            </a:pPr>
            <a:r>
              <a:rPr lang="en-US" sz="1000"/>
              <a:t>Products by Discount Category</a:t>
            </a:r>
          </a:p>
        </c:rich>
      </c:tx>
      <c:overlay val="0"/>
      <c:spPr>
        <a:noFill/>
        <a:ln>
          <a:noFill/>
        </a:ln>
        <a:effectLst/>
      </c:spPr>
      <c:txPr>
        <a:bodyPr rot="0" spcFirstLastPara="1" vertOverflow="ellipsis" vert="horz" wrap="square" anchor="ctr" anchorCtr="1"/>
        <a:lstStyle/>
        <a:p>
          <a:pPr>
            <a:defRPr sz="10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ProductsbyDiscountCaregory!$B$3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ProductsbyDiscountCaregory!$A$4:$A$7</c:f>
              <c:strCache>
                <c:ptCount val="3"/>
                <c:pt idx="0">
                  <c:v>High Discount</c:v>
                </c:pt>
                <c:pt idx="1">
                  <c:v>Low Discount</c:v>
                </c:pt>
                <c:pt idx="2">
                  <c:v>Medium Discount</c:v>
                </c:pt>
              </c:strCache>
            </c:strRef>
          </c:cat>
          <c:val>
            <c:numRef>
              <c:f>ProductsbyDiscountCaregory!$B$4:$B$7</c:f>
              <c:numCache>
                <c:formatCode>General</c:formatCode>
                <c:ptCount val="3"/>
                <c:pt idx="0">
                  <c:v>62</c:v>
                </c:pt>
                <c:pt idx="1">
                  <c:v>18</c:v>
                </c:pt>
                <c:pt idx="2">
                  <c:v>32</c:v>
                </c:pt>
              </c:numCache>
            </c:numRef>
          </c:val>
          <c:extLst>
            <c:ext xmlns:c16="http://schemas.microsoft.com/office/drawing/2014/chart" uri="{C3380CC4-5D6E-409C-BE32-E72D297353CC}">
              <c16:uniqueId val="{00000000-BD2E-4E89-BAB2-34B33D1A78E6}"/>
            </c:ext>
          </c:extLst>
        </c:ser>
        <c:dLbls>
          <c:showLegendKey val="0"/>
          <c:showVal val="1"/>
          <c:showCatName val="0"/>
          <c:showSerName val="0"/>
          <c:showPercent val="0"/>
          <c:showBubbleSize val="0"/>
        </c:dLbls>
        <c:gapWidth val="84"/>
        <c:gapDepth val="53"/>
        <c:shape val="box"/>
        <c:axId val="1335580207"/>
        <c:axId val="1335570607"/>
        <c:axId val="0"/>
      </c:bar3DChart>
      <c:catAx>
        <c:axId val="133558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570607"/>
        <c:crosses val="autoZero"/>
        <c:auto val="1"/>
        <c:lblAlgn val="ctr"/>
        <c:lblOffset val="100"/>
        <c:noMultiLvlLbl val="0"/>
      </c:catAx>
      <c:valAx>
        <c:axId val="1335570607"/>
        <c:scaling>
          <c:orientation val="minMax"/>
        </c:scaling>
        <c:delete val="1"/>
        <c:axPos val="l"/>
        <c:numFmt formatCode="General" sourceLinked="1"/>
        <c:majorTickMark val="out"/>
        <c:minorTickMark val="none"/>
        <c:tickLblPos val="nextTo"/>
        <c:crossAx val="13355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553149606299214E-2"/>
          <c:y val="0.11574074074074074"/>
          <c:w val="0.86228718285214345"/>
          <c:h val="0.77685987168270632"/>
        </c:manualLayout>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xVal>
            <c:numRef>
              <c:f>Excel_jumia_Final!$D$2:$D$113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Excel_jumia_Final!$H$2:$H$113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7B17-4429-952F-F396BC0BAEF0}"/>
            </c:ext>
          </c:extLst>
        </c:ser>
        <c:dLbls>
          <c:showLegendKey val="0"/>
          <c:showVal val="0"/>
          <c:showCatName val="0"/>
          <c:showSerName val="0"/>
          <c:showPercent val="0"/>
          <c:showBubbleSize val="0"/>
        </c:dLbls>
        <c:axId val="960594303"/>
        <c:axId val="960596223"/>
      </c:scatterChart>
      <c:valAx>
        <c:axId val="960594303"/>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960596223"/>
        <c:crosses val="autoZero"/>
        <c:crossBetween val="midCat"/>
      </c:valAx>
      <c:valAx>
        <c:axId val="960596223"/>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96059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Rating vs Reviews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xVal>
            <c:numRef>
              <c:f>Excel_jumia_Final!$H$2:$H$113</c:f>
              <c:numCache>
                <c:formatCode>0.0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xVal>
          <c:yVal>
            <c:numRef>
              <c:f>Excel_jumia_Final!$I$2:$I$113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A14A-4EB0-B4B4-25605759F8FF}"/>
            </c:ext>
          </c:extLst>
        </c:ser>
        <c:dLbls>
          <c:showLegendKey val="0"/>
          <c:showVal val="0"/>
          <c:showCatName val="0"/>
          <c:showSerName val="0"/>
          <c:showPercent val="0"/>
          <c:showBubbleSize val="0"/>
        </c:dLbls>
        <c:axId val="1170528207"/>
        <c:axId val="1170529647"/>
      </c:scatterChart>
      <c:valAx>
        <c:axId val="11705282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70529647"/>
        <c:crosses val="autoZero"/>
        <c:crossBetween val="midCat"/>
      </c:valAx>
      <c:valAx>
        <c:axId val="11705296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28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Dashboard.xlsx]ProductsRating!PivotTable20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products by rating </a:t>
            </a:r>
            <a:endParaRPr lang="en-US" b="1">
              <a:solidFill>
                <a:schemeClr val="tx1"/>
              </a:solidFill>
            </a:endParaRPr>
          </a:p>
        </c:rich>
      </c:tx>
      <c:layout>
        <c:manualLayout>
          <c:xMode val="edge"/>
          <c:yMode val="edge"/>
          <c:x val="0.41435523114355238"/>
          <c:y val="0.100129791468374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ProductsRating!$B$3</c:f>
              <c:strCache>
                <c:ptCount val="1"/>
                <c:pt idx="0">
                  <c:v>Total</c:v>
                </c:pt>
              </c:strCache>
            </c:strRef>
          </c:tx>
          <c:spPr>
            <a:solidFill>
              <a:schemeClr val="accent1"/>
            </a:solidFill>
            <a:ln>
              <a:noFill/>
            </a:ln>
            <a:effectLst/>
          </c:spPr>
          <c:invertIfNegative val="0"/>
          <c:cat>
            <c:strRef>
              <c:f>ProductsRating!$A$4:$A$14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ProductsRating!$B$4:$B$14</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C75-4360-8C97-390146B46DDD}"/>
            </c:ext>
          </c:extLst>
        </c:ser>
        <c:dLbls>
          <c:showLegendKey val="0"/>
          <c:showVal val="0"/>
          <c:showCatName val="0"/>
          <c:showSerName val="0"/>
          <c:showPercent val="0"/>
          <c:showBubbleSize val="0"/>
        </c:dLbls>
        <c:gapWidth val="150"/>
        <c:axId val="643604096"/>
        <c:axId val="643619456"/>
      </c:barChart>
      <c:catAx>
        <c:axId val="64360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19456"/>
        <c:crosses val="autoZero"/>
        <c:auto val="1"/>
        <c:lblAlgn val="ctr"/>
        <c:lblOffset val="100"/>
        <c:noMultiLvlLbl val="0"/>
      </c:catAx>
      <c:valAx>
        <c:axId val="6436194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0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Dashboard.xlsx]ProductsReview!PivotTable27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products by number of reviews </a:t>
            </a:r>
            <a:endParaRPr lang="en-US" b="1">
              <a:solidFill>
                <a:schemeClr val="tx1"/>
              </a:solidFill>
            </a:endParaRPr>
          </a:p>
        </c:rich>
      </c:tx>
      <c:layout>
        <c:manualLayout>
          <c:xMode val="edge"/>
          <c:yMode val="edge"/>
          <c:x val="0.2312290026246719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ProductsReview!$B$3</c:f>
              <c:strCache>
                <c:ptCount val="1"/>
                <c:pt idx="0">
                  <c:v>Total</c:v>
                </c:pt>
              </c:strCache>
            </c:strRef>
          </c:tx>
          <c:spPr>
            <a:solidFill>
              <a:schemeClr val="accent1"/>
            </a:solidFill>
            <a:ln>
              <a:noFill/>
            </a:ln>
            <a:effectLst/>
          </c:spPr>
          <c:invertIfNegative val="0"/>
          <c:cat>
            <c:strRef>
              <c:f>ProductsReview!$A$4:$A$14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ProductsReview!$B$4:$B$14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1C39-4245-AA82-1618C2ED7A14}"/>
            </c:ext>
          </c:extLst>
        </c:ser>
        <c:dLbls>
          <c:showLegendKey val="0"/>
          <c:showVal val="0"/>
          <c:showCatName val="0"/>
          <c:showSerName val="0"/>
          <c:showPercent val="0"/>
          <c:showBubbleSize val="0"/>
        </c:dLbls>
        <c:gapWidth val="182"/>
        <c:axId val="643650656"/>
        <c:axId val="643651136"/>
      </c:barChart>
      <c:catAx>
        <c:axId val="64365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51136"/>
        <c:crosses val="autoZero"/>
        <c:auto val="1"/>
        <c:lblAlgn val="ctr"/>
        <c:lblOffset val="100"/>
        <c:noMultiLvlLbl val="0"/>
      </c:catAx>
      <c:valAx>
        <c:axId val="64365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5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Dashboard.xlsx]Rating vs Review!PivotTable31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Rating vs Review</a:t>
            </a:r>
          </a:p>
        </c:rich>
      </c:tx>
      <c:layout>
        <c:manualLayout>
          <c:xMode val="edge"/>
          <c:yMode val="edge"/>
          <c:x val="0.49527777777777787"/>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'Rating vs Review'!$A$4:$A$27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Review'!$B$4:$B$27</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52</c:v>
                </c:pt>
              </c:numCache>
            </c:numRef>
          </c:val>
          <c:smooth val="0"/>
          <c:extLst>
            <c:ext xmlns:c16="http://schemas.microsoft.com/office/drawing/2014/chart" uri="{C3380CC4-5D6E-409C-BE32-E72D297353CC}">
              <c16:uniqueId val="{00000000-E0B7-4A26-A1CF-0AF1DE586022}"/>
            </c:ext>
          </c:extLst>
        </c:ser>
        <c:dLbls>
          <c:showLegendKey val="0"/>
          <c:showVal val="0"/>
          <c:showCatName val="0"/>
          <c:showSerName val="0"/>
          <c:showPercent val="0"/>
          <c:showBubbleSize val="0"/>
        </c:dLbls>
        <c:marker val="1"/>
        <c:smooth val="0"/>
        <c:axId val="270670064"/>
        <c:axId val="270672944"/>
      </c:lineChart>
      <c:catAx>
        <c:axId val="27067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2944"/>
        <c:crosses val="autoZero"/>
        <c:auto val="1"/>
        <c:lblAlgn val="ctr"/>
        <c:lblOffset val="100"/>
        <c:noMultiLvlLbl val="0"/>
      </c:catAx>
      <c:valAx>
        <c:axId val="27067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Dashboard.xlsx]Rating vs Review!PivotTable31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Rating vs Review</a:t>
            </a:r>
          </a:p>
        </c:rich>
      </c:tx>
      <c:layout>
        <c:manualLayout>
          <c:xMode val="edge"/>
          <c:yMode val="edge"/>
          <c:x val="0.49527777777777787"/>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'Rating vs Review'!$A$4:$A$27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Review'!$B$4:$B$27</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52</c:v>
                </c:pt>
              </c:numCache>
            </c:numRef>
          </c:val>
          <c:smooth val="0"/>
          <c:extLst>
            <c:ext xmlns:c16="http://schemas.microsoft.com/office/drawing/2014/chart" uri="{C3380CC4-5D6E-409C-BE32-E72D297353CC}">
              <c16:uniqueId val="{00000000-D62C-441E-A14B-689CF1D17F3A}"/>
            </c:ext>
          </c:extLst>
        </c:ser>
        <c:dLbls>
          <c:showLegendKey val="0"/>
          <c:showVal val="0"/>
          <c:showCatName val="0"/>
          <c:showSerName val="0"/>
          <c:showPercent val="0"/>
          <c:showBubbleSize val="0"/>
        </c:dLbls>
        <c:marker val="1"/>
        <c:smooth val="0"/>
        <c:axId val="270670064"/>
        <c:axId val="270672944"/>
      </c:lineChart>
      <c:catAx>
        <c:axId val="27067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2944"/>
        <c:crosses val="autoZero"/>
        <c:auto val="1"/>
        <c:lblAlgn val="ctr"/>
        <c:lblOffset val="100"/>
        <c:noMultiLvlLbl val="0"/>
      </c:catAx>
      <c:valAx>
        <c:axId val="27067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 by Rating!PivotTable32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Products by Rating Category</a:t>
            </a:r>
          </a:p>
        </c:rich>
      </c:tx>
      <c:layout>
        <c:manualLayout>
          <c:xMode val="edge"/>
          <c:yMode val="edge"/>
          <c:x val="0.2702777777777777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'Product by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F5-4115-B8AD-9A29CCC0BE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F5-4115-B8AD-9A29CCC0BE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F5-4115-B8AD-9A29CCC0BE4B}"/>
              </c:ext>
            </c:extLst>
          </c:dPt>
          <c:cat>
            <c:strRef>
              <c:f>'Product by Rating'!$A$4:$A$7</c:f>
              <c:strCache>
                <c:ptCount val="3"/>
                <c:pt idx="0">
                  <c:v>Average</c:v>
                </c:pt>
                <c:pt idx="1">
                  <c:v>Excellent</c:v>
                </c:pt>
                <c:pt idx="2">
                  <c:v>Poor</c:v>
                </c:pt>
              </c:strCache>
            </c:strRef>
          </c:cat>
          <c:val>
            <c:numRef>
              <c:f>'Product by Rating'!$B$4:$B$7</c:f>
              <c:numCache>
                <c:formatCode>General</c:formatCode>
                <c:ptCount val="3"/>
                <c:pt idx="0">
                  <c:v>22</c:v>
                </c:pt>
                <c:pt idx="1">
                  <c:v>75</c:v>
                </c:pt>
                <c:pt idx="2">
                  <c:v>12</c:v>
                </c:pt>
              </c:numCache>
            </c:numRef>
          </c:val>
          <c:extLst>
            <c:ext xmlns:c16="http://schemas.microsoft.com/office/drawing/2014/chart" uri="{C3380CC4-5D6E-409C-BE32-E72D297353CC}">
              <c16:uniqueId val="{00000000-4BE9-48F7-9ADA-F5ABB9F888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Dashboard.xlsx]ProductByDiscount!PivotTable30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products by discount percentage </a:t>
            </a:r>
            <a:endParaRPr lang="en-US" b="1">
              <a:solidFill>
                <a:schemeClr val="tx1"/>
              </a:solidFill>
            </a:endParaRPr>
          </a:p>
        </c:rich>
      </c:tx>
      <c:layout>
        <c:manualLayout>
          <c:xMode val="edge"/>
          <c:yMode val="edge"/>
          <c:x val="0.19991666666666663"/>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ProductByDiscount!$B$3</c:f>
              <c:strCache>
                <c:ptCount val="1"/>
                <c:pt idx="0">
                  <c:v>Total</c:v>
                </c:pt>
              </c:strCache>
            </c:strRef>
          </c:tx>
          <c:spPr>
            <a:solidFill>
              <a:schemeClr val="accent1"/>
            </a:solidFill>
            <a:ln>
              <a:noFill/>
            </a:ln>
            <a:effectLst/>
          </c:spPr>
          <c:invertIfNegative val="0"/>
          <c:cat>
            <c:strRef>
              <c:f>ProductByDiscount!$A$4:$A$14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ProductByDiscount!$B$4:$B$14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95C2-4804-A743-28548AB9BC6F}"/>
            </c:ext>
          </c:extLst>
        </c:ser>
        <c:dLbls>
          <c:showLegendKey val="0"/>
          <c:showVal val="0"/>
          <c:showCatName val="0"/>
          <c:showSerName val="0"/>
          <c:showPercent val="0"/>
          <c:showBubbleSize val="0"/>
        </c:dLbls>
        <c:gapWidth val="150"/>
        <c:overlap val="100"/>
        <c:axId val="643635296"/>
        <c:axId val="643645856"/>
      </c:barChart>
      <c:catAx>
        <c:axId val="64363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45856"/>
        <c:crosses val="autoZero"/>
        <c:auto val="1"/>
        <c:lblAlgn val="ctr"/>
        <c:lblOffset val="100"/>
        <c:noMultiLvlLbl val="0"/>
      </c:catAx>
      <c:valAx>
        <c:axId val="643645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Dashboard.xlsx]ProductbyDiscountCategory!PivotTable34</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a:t>
            </a:r>
            <a:r>
              <a:rPr lang="en-US" b="1" baseline="0">
                <a:solidFill>
                  <a:schemeClr val="tx1"/>
                </a:solidFill>
              </a:rPr>
              <a:t> by Discount Category</a:t>
            </a:r>
          </a:p>
        </c:rich>
      </c:tx>
      <c:layout>
        <c:manualLayout>
          <c:xMode val="edge"/>
          <c:yMode val="edge"/>
          <c:x val="0.22027777777777779"/>
          <c:y val="0.119349664625255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ProductbyDiscountCategory!$B$3</c:f>
              <c:strCache>
                <c:ptCount val="1"/>
                <c:pt idx="0">
                  <c:v>Total</c:v>
                </c:pt>
              </c:strCache>
            </c:strRef>
          </c:tx>
          <c:spPr>
            <a:solidFill>
              <a:schemeClr val="accent1"/>
            </a:solidFill>
            <a:ln>
              <a:noFill/>
            </a:ln>
            <a:effectLst/>
          </c:spPr>
          <c:invertIfNegative val="0"/>
          <c:cat>
            <c:strRef>
              <c:f>ProductbyDiscountCategory!$A$4:$A$7</c:f>
              <c:strCache>
                <c:ptCount val="3"/>
                <c:pt idx="0">
                  <c:v>High Discount</c:v>
                </c:pt>
                <c:pt idx="1">
                  <c:v>Low Discount</c:v>
                </c:pt>
                <c:pt idx="2">
                  <c:v>Medium Discount</c:v>
                </c:pt>
              </c:strCache>
            </c:strRef>
          </c:cat>
          <c:val>
            <c:numRef>
              <c:f>ProductbyDiscountCategory!$B$4:$B$7</c:f>
              <c:numCache>
                <c:formatCode>General</c:formatCode>
                <c:ptCount val="3"/>
                <c:pt idx="0">
                  <c:v>62</c:v>
                </c:pt>
                <c:pt idx="1">
                  <c:v>18</c:v>
                </c:pt>
                <c:pt idx="2">
                  <c:v>32</c:v>
                </c:pt>
              </c:numCache>
            </c:numRef>
          </c:val>
          <c:extLst>
            <c:ext xmlns:c16="http://schemas.microsoft.com/office/drawing/2014/chart" uri="{C3380CC4-5D6E-409C-BE32-E72D297353CC}">
              <c16:uniqueId val="{00000000-EBF4-48F9-9DB4-B46A67141512}"/>
            </c:ext>
          </c:extLst>
        </c:ser>
        <c:dLbls>
          <c:showLegendKey val="0"/>
          <c:showVal val="0"/>
          <c:showCatName val="0"/>
          <c:showSerName val="0"/>
          <c:showPercent val="0"/>
          <c:showBubbleSize val="0"/>
        </c:dLbls>
        <c:gapWidth val="219"/>
        <c:overlap val="-27"/>
        <c:axId val="643642496"/>
        <c:axId val="643643936"/>
      </c:barChart>
      <c:catAx>
        <c:axId val="6436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43936"/>
        <c:crosses val="autoZero"/>
        <c:auto val="1"/>
        <c:lblAlgn val="ctr"/>
        <c:lblOffset val="100"/>
        <c:noMultiLvlLbl val="0"/>
      </c:catAx>
      <c:valAx>
        <c:axId val="64364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Dashboard.xlsx]TopProdyctbyRating!PivotTable5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by Rating</a:t>
            </a:r>
            <a:endParaRPr lang="en-US" b="1">
              <a:solidFill>
                <a:schemeClr val="tx1"/>
              </a:solidFill>
            </a:endParaRPr>
          </a:p>
        </c:rich>
      </c:tx>
      <c:layout>
        <c:manualLayout>
          <c:xMode val="edge"/>
          <c:yMode val="edge"/>
          <c:x val="0.35777777777777775"/>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TopProdyctbyRating!$B$3</c:f>
              <c:strCache>
                <c:ptCount val="1"/>
                <c:pt idx="0">
                  <c:v>Total</c:v>
                </c:pt>
              </c:strCache>
            </c:strRef>
          </c:tx>
          <c:spPr>
            <a:solidFill>
              <a:schemeClr val="accent1"/>
            </a:solidFill>
            <a:ln>
              <a:noFill/>
            </a:ln>
            <a:effectLst/>
          </c:spPr>
          <c:invertIfNegative val="0"/>
          <c:cat>
            <c:strRef>
              <c:f>TopProdyctbyRating!$A$4:$A$14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TopProdyctbyRating!$B$4:$B$14</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0F34-45BC-B41F-7EF2F92888EF}"/>
            </c:ext>
          </c:extLst>
        </c:ser>
        <c:dLbls>
          <c:showLegendKey val="0"/>
          <c:showVal val="0"/>
          <c:showCatName val="0"/>
          <c:showSerName val="0"/>
          <c:showPercent val="0"/>
          <c:showBubbleSize val="0"/>
        </c:dLbls>
        <c:gapWidth val="182"/>
        <c:axId val="1142548687"/>
        <c:axId val="1142545807"/>
      </c:barChart>
      <c:catAx>
        <c:axId val="114254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45807"/>
        <c:crosses val="autoZero"/>
        <c:auto val="1"/>
        <c:lblAlgn val="ctr"/>
        <c:lblOffset val="100"/>
        <c:noMultiLvlLbl val="0"/>
      </c:catAx>
      <c:valAx>
        <c:axId val="11425458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4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Dashboard.xlsx]Top Product by review!PivotTable6</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 by Review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review'!$B$3</c:f>
              <c:strCache>
                <c:ptCount val="1"/>
                <c:pt idx="0">
                  <c:v>Total</c:v>
                </c:pt>
              </c:strCache>
            </c:strRef>
          </c:tx>
          <c:spPr>
            <a:solidFill>
              <a:schemeClr val="accent1"/>
            </a:solidFill>
            <a:ln>
              <a:noFill/>
            </a:ln>
            <a:effectLst/>
          </c:spPr>
          <c:invertIfNegative val="0"/>
          <c:cat>
            <c:strRef>
              <c:f>'Top Product by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 by review'!$B$4:$B$14</c:f>
              <c:numCache>
                <c:formatCode>0.0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EE84-407A-A0BB-92873D17CC14}"/>
            </c:ext>
          </c:extLst>
        </c:ser>
        <c:dLbls>
          <c:showLegendKey val="0"/>
          <c:showVal val="0"/>
          <c:showCatName val="0"/>
          <c:showSerName val="0"/>
          <c:showPercent val="0"/>
          <c:showBubbleSize val="0"/>
        </c:dLbls>
        <c:gapWidth val="182"/>
        <c:axId val="1142514607"/>
        <c:axId val="1142506927"/>
      </c:barChart>
      <c:catAx>
        <c:axId val="114251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6927"/>
        <c:crosses val="autoZero"/>
        <c:auto val="1"/>
        <c:lblAlgn val="ctr"/>
        <c:lblOffset val="100"/>
        <c:noMultiLvlLbl val="0"/>
      </c:catAx>
      <c:valAx>
        <c:axId val="11425069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Dashboard.xlsx]TopDiscountProduct!PivotTable7</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Product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TopDiscountProduct!$B$3</c:f>
              <c:strCache>
                <c:ptCount val="1"/>
                <c:pt idx="0">
                  <c:v>Total</c:v>
                </c:pt>
              </c:strCache>
            </c:strRef>
          </c:tx>
          <c:spPr>
            <a:solidFill>
              <a:schemeClr val="accent1"/>
            </a:solidFill>
            <a:ln>
              <a:noFill/>
            </a:ln>
            <a:effectLst/>
          </c:spPr>
          <c:invertIfNegative val="0"/>
          <c:cat>
            <c:strRef>
              <c:f>TopDiscountProduct!$A$4:$A$14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TopDiscountProduct!$B$4:$B$14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EB9F-4721-A8BB-7B929F9BF21A}"/>
            </c:ext>
          </c:extLst>
        </c:ser>
        <c:dLbls>
          <c:showLegendKey val="0"/>
          <c:showVal val="0"/>
          <c:showCatName val="0"/>
          <c:showSerName val="0"/>
          <c:showPercent val="0"/>
          <c:showBubbleSize val="0"/>
        </c:dLbls>
        <c:gapWidth val="150"/>
        <c:axId val="647117759"/>
        <c:axId val="647121119"/>
      </c:barChart>
      <c:catAx>
        <c:axId val="64711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21119"/>
        <c:crosses val="autoZero"/>
        <c:auto val="1"/>
        <c:lblAlgn val="ctr"/>
        <c:lblOffset val="100"/>
        <c:noMultiLvlLbl val="0"/>
      </c:catAx>
      <c:valAx>
        <c:axId val="647121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1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 by RatingCategory!PivotTable9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'Products by RatingCategory'!$B$3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'Products by RatingCategory'!$A$4:$A$7</c:f>
              <c:strCache>
                <c:ptCount val="3"/>
                <c:pt idx="0">
                  <c:v>Average</c:v>
                </c:pt>
                <c:pt idx="1">
                  <c:v>Excellent</c:v>
                </c:pt>
                <c:pt idx="2">
                  <c:v>Poor</c:v>
                </c:pt>
              </c:strCache>
            </c:strRef>
          </c:cat>
          <c:val>
            <c:numRef>
              <c:f>'Products by RatingCategory'!$B$4:$B$7</c:f>
              <c:numCache>
                <c:formatCode>General</c:formatCode>
                <c:ptCount val="3"/>
                <c:pt idx="0">
                  <c:v>22</c:v>
                </c:pt>
                <c:pt idx="1">
                  <c:v>78</c:v>
                </c:pt>
                <c:pt idx="2">
                  <c:v>12</c:v>
                </c:pt>
              </c:numCache>
            </c:numRef>
          </c:val>
          <c:extLst>
            <c:ext xmlns:c16="http://schemas.microsoft.com/office/drawing/2014/chart" uri="{C3380CC4-5D6E-409C-BE32-E72D297353CC}">
              <c16:uniqueId val="{00000000-14F3-4EE3-90EC-B0AB628A0F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[Excel_jumia_Final Dashboard.xlsx]ProductsbyDiscountCaregory!PivotTable10</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Products by Discount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ProductsbyDiscountCaregory!$B$3</c:f>
              <c:strCache>
                <c:ptCount val="1"/>
                <c:pt idx="0">
                  <c:v>Total</c:v>
                </c:pt>
              </c:strCache>
            </c:strRef>
          </c:tx>
          <c:spPr>
            <a:solidFill>
              <a:schemeClr val="accent1"/>
            </a:solidFill>
            <a:ln>
              <a:noFill/>
            </a:ln>
            <a:effectLst/>
            <a:sp3d/>
          </c:spPr>
          <c:invertIfNegative val="0"/>
          <c:cat>
            <c:strRef>
              <c:f>ProductsbyDiscountCaregory!$A$4:$A$7</c:f>
              <c:strCache>
                <c:ptCount val="3"/>
                <c:pt idx="0">
                  <c:v>High Discount</c:v>
                </c:pt>
                <c:pt idx="1">
                  <c:v>Low Discount</c:v>
                </c:pt>
                <c:pt idx="2">
                  <c:v>Medium Discount</c:v>
                </c:pt>
              </c:strCache>
            </c:strRef>
          </c:cat>
          <c:val>
            <c:numRef>
              <c:f>ProductsbyDiscountCaregory!$B$4:$B$7</c:f>
              <c:numCache>
                <c:formatCode>General</c:formatCode>
                <c:ptCount val="3"/>
                <c:pt idx="0">
                  <c:v>62</c:v>
                </c:pt>
                <c:pt idx="1">
                  <c:v>18</c:v>
                </c:pt>
                <c:pt idx="2">
                  <c:v>32</c:v>
                </c:pt>
              </c:numCache>
            </c:numRef>
          </c:val>
          <c:extLst>
            <c:ext xmlns:c16="http://schemas.microsoft.com/office/drawing/2014/chart" uri="{C3380CC4-5D6E-409C-BE32-E72D297353CC}">
              <c16:uniqueId val="{00000000-688A-490D-B59F-49818965F977}"/>
            </c:ext>
          </c:extLst>
        </c:ser>
        <c:dLbls>
          <c:showLegendKey val="0"/>
          <c:showVal val="0"/>
          <c:showCatName val="0"/>
          <c:showSerName val="0"/>
          <c:showPercent val="0"/>
          <c:showBubbleSize val="0"/>
        </c:dLbls>
        <c:gapWidth val="150"/>
        <c:shape val="box"/>
        <c:axId val="1335580207"/>
        <c:axId val="1335570607"/>
        <c:axId val="0"/>
      </c:bar3DChart>
      <c:catAx>
        <c:axId val="133558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70607"/>
        <c:crosses val="autoZero"/>
        <c:auto val="1"/>
        <c:lblAlgn val="ctr"/>
        <c:lblOffset val="100"/>
        <c:noMultiLvlLbl val="0"/>
      </c:catAx>
      <c:valAx>
        <c:axId val="133557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184150</xdr:colOff>
      <xdr:row>5</xdr:row>
      <xdr:rowOff>31750</xdr:rowOff>
    </xdr:from>
    <xdr:to>
      <xdr:col>4</xdr:col>
      <xdr:colOff>349250</xdr:colOff>
      <xdr:row>9</xdr:row>
      <xdr:rowOff>57150</xdr:rowOff>
    </xdr:to>
    <xdr:sp macro="" textlink="">
      <xdr:nvSpPr>
        <xdr:cNvPr id="2" name="Rectangle: Rounded Corners 1">
          <a:extLst>
            <a:ext uri="{FF2B5EF4-FFF2-40B4-BE49-F238E27FC236}">
              <a16:creationId xmlns:a16="http://schemas.microsoft.com/office/drawing/2014/main" id="{0BE633FC-E03E-C95D-174E-FC484C004BC5}"/>
            </a:ext>
          </a:extLst>
        </xdr:cNvPr>
        <xdr:cNvSpPr/>
      </xdr:nvSpPr>
      <xdr:spPr>
        <a:xfrm>
          <a:off x="184150" y="857250"/>
          <a:ext cx="2603500" cy="685800"/>
        </a:xfrm>
        <a:prstGeom prst="roundRect">
          <a:avLst>
            <a:gd name="adj" fmla="val 4902"/>
          </a:avLst>
        </a:prstGeom>
        <a:solidFill>
          <a:schemeClr val="tx1">
            <a:lumMod val="85000"/>
            <a:lumOff val="15000"/>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Total Number of Products</a:t>
          </a:r>
        </a:p>
        <a:p>
          <a:pPr algn="l"/>
          <a:r>
            <a:rPr lang="en-US" sz="1800" b="0" i="0" u="none" strike="noStrike">
              <a:solidFill>
                <a:schemeClr val="tx1"/>
              </a:solidFill>
              <a:effectLst/>
              <a:latin typeface="+mn-lt"/>
              <a:ea typeface="+mn-ea"/>
              <a:cs typeface="+mn-cs"/>
            </a:rPr>
            <a:t>112</a:t>
          </a:r>
          <a:endParaRPr lang="en-US" sz="1800">
            <a:solidFill>
              <a:schemeClr val="tx1"/>
            </a:solidFill>
          </a:endParaRPr>
        </a:p>
      </xdr:txBody>
    </xdr:sp>
    <xdr:clientData/>
  </xdr:twoCellAnchor>
  <xdr:twoCellAnchor>
    <xdr:from>
      <xdr:col>4</xdr:col>
      <xdr:colOff>438150</xdr:colOff>
      <xdr:row>5</xdr:row>
      <xdr:rowOff>25400</xdr:rowOff>
    </xdr:from>
    <xdr:to>
      <xdr:col>8</xdr:col>
      <xdr:colOff>25400</xdr:colOff>
      <xdr:row>9</xdr:row>
      <xdr:rowOff>57150</xdr:rowOff>
    </xdr:to>
    <xdr:sp macro="" textlink="">
      <xdr:nvSpPr>
        <xdr:cNvPr id="9" name="Rectangle: Rounded Corners 8">
          <a:extLst>
            <a:ext uri="{FF2B5EF4-FFF2-40B4-BE49-F238E27FC236}">
              <a16:creationId xmlns:a16="http://schemas.microsoft.com/office/drawing/2014/main" id="{56EBE555-461D-4935-88EF-2733708B02BA}"/>
            </a:ext>
          </a:extLst>
        </xdr:cNvPr>
        <xdr:cNvSpPr/>
      </xdr:nvSpPr>
      <xdr:spPr>
        <a:xfrm>
          <a:off x="2876550" y="850900"/>
          <a:ext cx="2025650" cy="692150"/>
        </a:xfrm>
        <a:prstGeom prst="roundRect">
          <a:avLst>
            <a:gd name="adj" fmla="val 4701"/>
          </a:avLst>
        </a:prstGeom>
        <a:solidFill>
          <a:schemeClr val="tx1">
            <a:lumMod val="85000"/>
            <a:lumOff val="15000"/>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a:solidFill>
                <a:schemeClr val="tx1"/>
              </a:solidFill>
              <a:latin typeface="+mn-lt"/>
              <a:ea typeface="+mn-ea"/>
              <a:cs typeface="+mn-cs"/>
            </a:rPr>
            <a:t>Average Rating</a:t>
          </a:r>
        </a:p>
        <a:p>
          <a:pPr marL="0" indent="0" algn="l"/>
          <a:r>
            <a:rPr lang="en-US" sz="1800">
              <a:solidFill>
                <a:schemeClr val="tx1"/>
              </a:solidFill>
              <a:latin typeface="+mn-lt"/>
              <a:ea typeface="+mn-ea"/>
              <a:cs typeface="+mn-cs"/>
            </a:rPr>
            <a:t>3.89</a:t>
          </a:r>
          <a:r>
            <a:rPr lang="en-US" sz="1400">
              <a:solidFill>
                <a:schemeClr val="tx1"/>
              </a:solidFill>
              <a:latin typeface="+mn-lt"/>
              <a:ea typeface="+mn-ea"/>
              <a:cs typeface="+mn-cs"/>
            </a:rPr>
            <a:t> </a:t>
          </a:r>
        </a:p>
      </xdr:txBody>
    </xdr:sp>
    <xdr:clientData/>
  </xdr:twoCellAnchor>
  <xdr:twoCellAnchor>
    <xdr:from>
      <xdr:col>8</xdr:col>
      <xdr:colOff>82550</xdr:colOff>
      <xdr:row>5</xdr:row>
      <xdr:rowOff>19050</xdr:rowOff>
    </xdr:from>
    <xdr:to>
      <xdr:col>12</xdr:col>
      <xdr:colOff>514350</xdr:colOff>
      <xdr:row>9</xdr:row>
      <xdr:rowOff>50800</xdr:rowOff>
    </xdr:to>
    <xdr:sp macro="" textlink="">
      <xdr:nvSpPr>
        <xdr:cNvPr id="10" name="Rectangle: Rounded Corners 9">
          <a:extLst>
            <a:ext uri="{FF2B5EF4-FFF2-40B4-BE49-F238E27FC236}">
              <a16:creationId xmlns:a16="http://schemas.microsoft.com/office/drawing/2014/main" id="{E2DFA13E-3B95-4DF6-A538-921D22CE2C8F}"/>
            </a:ext>
          </a:extLst>
        </xdr:cNvPr>
        <xdr:cNvSpPr/>
      </xdr:nvSpPr>
      <xdr:spPr>
        <a:xfrm>
          <a:off x="4959350" y="844550"/>
          <a:ext cx="2870200" cy="692150"/>
        </a:xfrm>
        <a:prstGeom prst="roundRect">
          <a:avLst>
            <a:gd name="adj" fmla="val 2618"/>
          </a:avLst>
        </a:prstGeom>
        <a:solidFill>
          <a:schemeClr val="tx1">
            <a:lumMod val="85000"/>
            <a:lumOff val="15000"/>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Average Discount</a:t>
          </a:r>
          <a:r>
            <a:rPr lang="en-US" sz="1400" baseline="0">
              <a:solidFill>
                <a:schemeClr val="tx1"/>
              </a:solidFill>
            </a:rPr>
            <a:t> Percentage:</a:t>
          </a:r>
          <a:endParaRPr lang="en-US" sz="1400">
            <a:solidFill>
              <a:schemeClr val="tx1"/>
            </a:solidFill>
          </a:endParaRPr>
        </a:p>
        <a:p>
          <a:pPr algn="l"/>
          <a:r>
            <a:rPr lang="en-US" sz="1800" b="0" i="0" u="none" strike="noStrike">
              <a:solidFill>
                <a:schemeClr val="tx1"/>
              </a:solidFill>
              <a:effectLst/>
              <a:latin typeface="+mn-lt"/>
              <a:ea typeface="+mn-ea"/>
              <a:cs typeface="+mn-cs"/>
            </a:rPr>
            <a:t>37%</a:t>
          </a:r>
          <a:r>
            <a:rPr lang="en-US" sz="1800">
              <a:solidFill>
                <a:schemeClr val="tx1"/>
              </a:solidFill>
              <a:effectLst/>
            </a:rPr>
            <a:t>  </a:t>
          </a:r>
          <a:endParaRPr lang="en-US" sz="1800">
            <a:solidFill>
              <a:schemeClr val="tx1"/>
            </a:solidFill>
          </a:endParaRPr>
        </a:p>
      </xdr:txBody>
    </xdr:sp>
    <xdr:clientData/>
  </xdr:twoCellAnchor>
  <xdr:twoCellAnchor>
    <xdr:from>
      <xdr:col>12</xdr:col>
      <xdr:colOff>590550</xdr:colOff>
      <xdr:row>5</xdr:row>
      <xdr:rowOff>19050</xdr:rowOff>
    </xdr:from>
    <xdr:to>
      <xdr:col>17</xdr:col>
      <xdr:colOff>247650</xdr:colOff>
      <xdr:row>9</xdr:row>
      <xdr:rowOff>69850</xdr:rowOff>
    </xdr:to>
    <xdr:sp macro="" textlink="">
      <xdr:nvSpPr>
        <xdr:cNvPr id="11" name="Rectangle: Rounded Corners 10">
          <a:extLst>
            <a:ext uri="{FF2B5EF4-FFF2-40B4-BE49-F238E27FC236}">
              <a16:creationId xmlns:a16="http://schemas.microsoft.com/office/drawing/2014/main" id="{03913D7C-94A6-4BF9-A1BA-FE06048029ED}"/>
            </a:ext>
          </a:extLst>
        </xdr:cNvPr>
        <xdr:cNvSpPr/>
      </xdr:nvSpPr>
      <xdr:spPr>
        <a:xfrm>
          <a:off x="7905750" y="844550"/>
          <a:ext cx="2705100" cy="711200"/>
        </a:xfrm>
        <a:prstGeom prst="roundRect">
          <a:avLst>
            <a:gd name="adj" fmla="val 1541"/>
          </a:avLst>
        </a:prstGeom>
        <a:solidFill>
          <a:schemeClr val="tx1">
            <a:lumMod val="85000"/>
            <a:lumOff val="15000"/>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Total Number of Reviews:</a:t>
          </a:r>
        </a:p>
        <a:p>
          <a:pPr algn="l"/>
          <a:r>
            <a:rPr lang="en-US" sz="1800" b="0" i="0" u="none" strike="noStrike">
              <a:solidFill>
                <a:schemeClr val="tx1"/>
              </a:solidFill>
              <a:effectLst/>
              <a:latin typeface="+mn-lt"/>
              <a:ea typeface="+mn-ea"/>
              <a:cs typeface="+mn-cs"/>
            </a:rPr>
            <a:t>57</a:t>
          </a:r>
        </a:p>
        <a:p>
          <a:pPr algn="ctr"/>
          <a:endParaRPr lang="en-US" sz="1800">
            <a:solidFill>
              <a:schemeClr val="tx1"/>
            </a:solidFill>
          </a:endParaRPr>
        </a:p>
      </xdr:txBody>
    </xdr:sp>
    <xdr:clientData/>
  </xdr:twoCellAnchor>
  <xdr:twoCellAnchor>
    <xdr:from>
      <xdr:col>0</xdr:col>
      <xdr:colOff>114300</xdr:colOff>
      <xdr:row>10</xdr:row>
      <xdr:rowOff>114300</xdr:rowOff>
    </xdr:from>
    <xdr:to>
      <xdr:col>6</xdr:col>
      <xdr:colOff>215900</xdr:colOff>
      <xdr:row>21</xdr:row>
      <xdr:rowOff>139700</xdr:rowOff>
    </xdr:to>
    <xdr:graphicFrame macro="">
      <xdr:nvGraphicFramePr>
        <xdr:cNvPr id="12" name="Chart 11">
          <a:extLst>
            <a:ext uri="{FF2B5EF4-FFF2-40B4-BE49-F238E27FC236}">
              <a16:creationId xmlns:a16="http://schemas.microsoft.com/office/drawing/2014/main" id="{12E95B3F-B57D-433A-9327-5CBE2BFF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10</xdr:row>
      <xdr:rowOff>139700</xdr:rowOff>
    </xdr:from>
    <xdr:to>
      <xdr:col>11</xdr:col>
      <xdr:colOff>514350</xdr:colOff>
      <xdr:row>21</xdr:row>
      <xdr:rowOff>107950</xdr:rowOff>
    </xdr:to>
    <xdr:graphicFrame macro="">
      <xdr:nvGraphicFramePr>
        <xdr:cNvPr id="3" name="Chart 2">
          <a:extLst>
            <a:ext uri="{FF2B5EF4-FFF2-40B4-BE49-F238E27FC236}">
              <a16:creationId xmlns:a16="http://schemas.microsoft.com/office/drawing/2014/main" id="{04D2E713-1C4A-44BD-8ECE-8B3D48853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552450</xdr:colOff>
      <xdr:row>10</xdr:row>
      <xdr:rowOff>76200</xdr:rowOff>
    </xdr:from>
    <xdr:to>
      <xdr:col>21</xdr:col>
      <xdr:colOff>469900</xdr:colOff>
      <xdr:row>21</xdr:row>
      <xdr:rowOff>133350</xdr:rowOff>
    </xdr:to>
    <xdr:graphicFrame macro="">
      <xdr:nvGraphicFramePr>
        <xdr:cNvPr id="5" name="Chart 4">
          <a:extLst>
            <a:ext uri="{FF2B5EF4-FFF2-40B4-BE49-F238E27FC236}">
              <a16:creationId xmlns:a16="http://schemas.microsoft.com/office/drawing/2014/main" id="{2E582E1E-D250-4ED7-A170-156C2A584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146050</xdr:colOff>
      <xdr:row>22</xdr:row>
      <xdr:rowOff>95250</xdr:rowOff>
    </xdr:from>
    <xdr:to>
      <xdr:col>7</xdr:col>
      <xdr:colOff>114300</xdr:colOff>
      <xdr:row>37</xdr:row>
      <xdr:rowOff>19050</xdr:rowOff>
    </xdr:to>
    <xdr:graphicFrame macro="">
      <xdr:nvGraphicFramePr>
        <xdr:cNvPr id="6" name="Chart 5">
          <a:extLst>
            <a:ext uri="{FF2B5EF4-FFF2-40B4-BE49-F238E27FC236}">
              <a16:creationId xmlns:a16="http://schemas.microsoft.com/office/drawing/2014/main" id="{684E1399-3684-43EE-B183-CCE6EA7A3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158750</xdr:colOff>
      <xdr:row>22</xdr:row>
      <xdr:rowOff>95250</xdr:rowOff>
    </xdr:from>
    <xdr:to>
      <xdr:col>14</xdr:col>
      <xdr:colOff>400050</xdr:colOff>
      <xdr:row>37</xdr:row>
      <xdr:rowOff>38100</xdr:rowOff>
    </xdr:to>
    <xdr:graphicFrame macro="">
      <xdr:nvGraphicFramePr>
        <xdr:cNvPr id="7" name="Chart 6">
          <a:extLst>
            <a:ext uri="{FF2B5EF4-FFF2-40B4-BE49-F238E27FC236}">
              <a16:creationId xmlns:a16="http://schemas.microsoft.com/office/drawing/2014/main" id="{398AF8B5-48EF-44CA-ABCF-E59C13414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120650</xdr:colOff>
      <xdr:row>37</xdr:row>
      <xdr:rowOff>88900</xdr:rowOff>
    </xdr:from>
    <xdr:to>
      <xdr:col>6</xdr:col>
      <xdr:colOff>342900</xdr:colOff>
      <xdr:row>49</xdr:row>
      <xdr:rowOff>127000</xdr:rowOff>
    </xdr:to>
    <xdr:graphicFrame macro="">
      <xdr:nvGraphicFramePr>
        <xdr:cNvPr id="8" name="Chart 7">
          <a:extLst>
            <a:ext uri="{FF2B5EF4-FFF2-40B4-BE49-F238E27FC236}">
              <a16:creationId xmlns:a16="http://schemas.microsoft.com/office/drawing/2014/main" id="{2DC5BE5D-8CD9-4B47-A323-5E0D15286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431800</xdr:colOff>
      <xdr:row>37</xdr:row>
      <xdr:rowOff>95250</xdr:rowOff>
    </xdr:from>
    <xdr:to>
      <xdr:col>13</xdr:col>
      <xdr:colOff>292100</xdr:colOff>
      <xdr:row>49</xdr:row>
      <xdr:rowOff>127000</xdr:rowOff>
    </xdr:to>
    <xdr:graphicFrame macro="">
      <xdr:nvGraphicFramePr>
        <xdr:cNvPr id="18" name="Chart 17">
          <a:extLst>
            <a:ext uri="{FF2B5EF4-FFF2-40B4-BE49-F238E27FC236}">
              <a16:creationId xmlns:a16="http://schemas.microsoft.com/office/drawing/2014/main" id="{927660CE-289E-410A-943A-38545C0EE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349250</xdr:colOff>
      <xdr:row>22</xdr:row>
      <xdr:rowOff>107950</xdr:rowOff>
    </xdr:from>
    <xdr:to>
      <xdr:col>21</xdr:col>
      <xdr:colOff>292100</xdr:colOff>
      <xdr:row>29</xdr:row>
      <xdr:rowOff>76200</xdr:rowOff>
    </xdr:to>
    <mc:AlternateContent xmlns:mc="http://schemas.openxmlformats.org/markup-compatibility/2006">
      <mc:Choice xmlns:a14="http://schemas.microsoft.com/office/drawing/2010/main" Requires="a14">
        <xdr:graphicFrame macro="">
          <xdr:nvGraphicFramePr>
            <xdr:cNvPr id="19" name="Discount Category 1">
              <a:extLst>
                <a:ext uri="{FF2B5EF4-FFF2-40B4-BE49-F238E27FC236}">
                  <a16:creationId xmlns:a16="http://schemas.microsoft.com/office/drawing/2014/main" id="{E6152C61-4262-4C52-AE8D-0AC92CD52E5A}"/>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1322050" y="3740150"/>
              <a:ext cx="177165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336550</xdr:colOff>
      <xdr:row>29</xdr:row>
      <xdr:rowOff>152400</xdr:rowOff>
    </xdr:from>
    <xdr:to>
      <xdr:col>21</xdr:col>
      <xdr:colOff>349250</xdr:colOff>
      <xdr:row>36</xdr:row>
      <xdr:rowOff>50800</xdr:rowOff>
    </xdr:to>
    <mc:AlternateContent xmlns:mc="http://schemas.openxmlformats.org/markup-compatibility/2006">
      <mc:Choice xmlns:a14="http://schemas.microsoft.com/office/drawing/2010/main" Requires="a14">
        <xdr:graphicFrame macro="">
          <xdr:nvGraphicFramePr>
            <xdr:cNvPr id="20" name="Rating Category 1">
              <a:extLst>
                <a:ext uri="{FF2B5EF4-FFF2-40B4-BE49-F238E27FC236}">
                  <a16:creationId xmlns:a16="http://schemas.microsoft.com/office/drawing/2014/main" id="{011C0496-E30F-4B6C-8ED5-4E2B36C157B9}"/>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1309350" y="4940300"/>
              <a:ext cx="18415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209550</xdr:colOff>
      <xdr:row>1</xdr:row>
      <xdr:rowOff>158750</xdr:rowOff>
    </xdr:from>
    <xdr:to>
      <xdr:col>14</xdr:col>
      <xdr:colOff>146050</xdr:colOff>
      <xdr:row>4</xdr:row>
      <xdr:rowOff>114300</xdr:rowOff>
    </xdr:to>
    <xdr:sp macro="" textlink="">
      <xdr:nvSpPr>
        <xdr:cNvPr id="21" name="Rectangle: Rounded Corners 20">
          <a:extLst>
            <a:ext uri="{FF2B5EF4-FFF2-40B4-BE49-F238E27FC236}">
              <a16:creationId xmlns:a16="http://schemas.microsoft.com/office/drawing/2014/main" id="{7EF5B7C8-4AD1-85AC-A651-88C6E9FE8EDE}"/>
            </a:ext>
          </a:extLst>
        </xdr:cNvPr>
        <xdr:cNvSpPr/>
      </xdr:nvSpPr>
      <xdr:spPr>
        <a:xfrm>
          <a:off x="3257550" y="323850"/>
          <a:ext cx="5422900" cy="450850"/>
        </a:xfrm>
        <a:prstGeom prst="roundRect">
          <a:avLst>
            <a:gd name="adj" fmla="val 12442"/>
          </a:avLst>
        </a:prstGeom>
        <a:solidFill>
          <a:schemeClr val="tx1">
            <a:lumMod val="85000"/>
            <a:lumOff val="15000"/>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a:solidFill>
                <a:schemeClr val="tx1"/>
              </a:solidFill>
              <a:latin typeface="+mn-lt"/>
              <a:ea typeface="+mn-ea"/>
              <a:cs typeface="+mn-cs"/>
            </a:rPr>
            <a:t>Jumia Product Pricing &amp; Review Analysis Dashboard</a:t>
          </a:r>
        </a:p>
        <a:p>
          <a:pPr marL="0" indent="0" algn="ctr"/>
          <a:endParaRPr lang="en-US" sz="1800">
            <a:solidFill>
              <a:schemeClr val="tx1"/>
            </a:solidFill>
            <a:latin typeface="+mn-lt"/>
            <a:ea typeface="+mn-ea"/>
            <a:cs typeface="+mn-cs"/>
          </a:endParaRPr>
        </a:p>
      </xdr:txBody>
    </xdr:sp>
    <xdr:clientData/>
  </xdr:twoCellAnchor>
  <xdr:twoCellAnchor editAs="oneCell">
    <xdr:from>
      <xdr:col>15</xdr:col>
      <xdr:colOff>260350</xdr:colOff>
      <xdr:row>22</xdr:row>
      <xdr:rowOff>101600</xdr:rowOff>
    </xdr:from>
    <xdr:to>
      <xdr:col>18</xdr:col>
      <xdr:colOff>260350</xdr:colOff>
      <xdr:row>36</xdr:row>
      <xdr:rowOff>123822</xdr:rowOff>
    </xdr:to>
    <mc:AlternateContent xmlns:mc="http://schemas.openxmlformats.org/markup-compatibility/2006">
      <mc:Choice xmlns:a14="http://schemas.microsoft.com/office/drawing/2010/main" Requires="a14">
        <xdr:graphicFrame macro="">
          <xdr:nvGraphicFramePr>
            <xdr:cNvPr id="22" name="Product 1">
              <a:extLst>
                <a:ext uri="{FF2B5EF4-FFF2-40B4-BE49-F238E27FC236}">
                  <a16:creationId xmlns:a16="http://schemas.microsoft.com/office/drawing/2014/main" id="{7D181D51-7B71-4282-B81C-97038F44BD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404350" y="37338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0.30208</cdr:x>
      <cdr:y>0.00579</cdr:y>
    </cdr:from>
    <cdr:to>
      <cdr:x>0.68403</cdr:x>
      <cdr:y>0.09606</cdr:y>
    </cdr:to>
    <cdr:sp macro="" textlink="">
      <cdr:nvSpPr>
        <cdr:cNvPr id="2" name="TextBox 1">
          <a:extLst xmlns:a="http://schemas.openxmlformats.org/drawingml/2006/main">
            <a:ext uri="{FF2B5EF4-FFF2-40B4-BE49-F238E27FC236}">
              <a16:creationId xmlns:a16="http://schemas.microsoft.com/office/drawing/2014/main" id="{442B2636-3176-9E44-2B22-56BEA01E0053}"/>
            </a:ext>
          </a:extLst>
        </cdr:cNvPr>
        <cdr:cNvSpPr txBox="1"/>
      </cdr:nvSpPr>
      <cdr:spPr>
        <a:xfrm xmlns:a="http://schemas.openxmlformats.org/drawingml/2006/main">
          <a:off x="1381125" y="15875"/>
          <a:ext cx="17462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b="1"/>
            <a:t>Discount (%) Vs reviews</a:t>
          </a:r>
          <a:endParaRPr lang="en-US"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16</xdr:col>
      <xdr:colOff>47625</xdr:colOff>
      <xdr:row>31</xdr:row>
      <xdr:rowOff>161925</xdr:rowOff>
    </xdr:from>
    <xdr:to>
      <xdr:col>23</xdr:col>
      <xdr:colOff>352425</xdr:colOff>
      <xdr:row>48</xdr:row>
      <xdr:rowOff>98425</xdr:rowOff>
    </xdr:to>
    <xdr:graphicFrame macro="">
      <xdr:nvGraphicFramePr>
        <xdr:cNvPr id="2" name="Chart 1">
          <a:extLst>
            <a:ext uri="{FF2B5EF4-FFF2-40B4-BE49-F238E27FC236}">
              <a16:creationId xmlns:a16="http://schemas.microsoft.com/office/drawing/2014/main" id="{83906DF4-00C9-3BB3-D343-9F4258CF1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41275</xdr:colOff>
      <xdr:row>14</xdr:row>
      <xdr:rowOff>142875</xdr:rowOff>
    </xdr:from>
    <xdr:to>
      <xdr:col>23</xdr:col>
      <xdr:colOff>346075</xdr:colOff>
      <xdr:row>30</xdr:row>
      <xdr:rowOff>104775</xdr:rowOff>
    </xdr:to>
    <xdr:graphicFrame macro="">
      <xdr:nvGraphicFramePr>
        <xdr:cNvPr id="4" name="Chart 3">
          <a:extLst>
            <a:ext uri="{FF2B5EF4-FFF2-40B4-BE49-F238E27FC236}">
              <a16:creationId xmlns:a16="http://schemas.microsoft.com/office/drawing/2014/main" id="{4E44028C-AC77-FA86-8CE8-1274A7630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0.30208</cdr:x>
      <cdr:y>0.00579</cdr:y>
    </cdr:from>
    <cdr:to>
      <cdr:x>0.68403</cdr:x>
      <cdr:y>0.09606</cdr:y>
    </cdr:to>
    <cdr:sp macro="" textlink="">
      <cdr:nvSpPr>
        <cdr:cNvPr id="2" name="TextBox 1">
          <a:extLst xmlns:a="http://schemas.openxmlformats.org/drawingml/2006/main">
            <a:ext uri="{FF2B5EF4-FFF2-40B4-BE49-F238E27FC236}">
              <a16:creationId xmlns:a16="http://schemas.microsoft.com/office/drawing/2014/main" id="{442B2636-3176-9E44-2B22-56BEA01E0053}"/>
            </a:ext>
          </a:extLst>
        </cdr:cNvPr>
        <cdr:cNvSpPr txBox="1"/>
      </cdr:nvSpPr>
      <cdr:spPr>
        <a:xfrm xmlns:a="http://schemas.openxmlformats.org/drawingml/2006/main">
          <a:off x="1381125" y="15875"/>
          <a:ext cx="17462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b="1"/>
            <a:t>Discount (%) Vs reviews</a:t>
          </a:r>
          <a:endParaRPr lang="en-US" sz="11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1270000</xdr:colOff>
      <xdr:row>3</xdr:row>
      <xdr:rowOff>12701</xdr:rowOff>
    </xdr:from>
    <xdr:to>
      <xdr:col>10</xdr:col>
      <xdr:colOff>139700</xdr:colOff>
      <xdr:row>20</xdr:row>
      <xdr:rowOff>95251</xdr:rowOff>
    </xdr:to>
    <xdr:graphicFrame macro="">
      <xdr:nvGraphicFramePr>
        <xdr:cNvPr id="2" name="Chart 1">
          <a:extLst>
            <a:ext uri="{FF2B5EF4-FFF2-40B4-BE49-F238E27FC236}">
              <a16:creationId xmlns:a16="http://schemas.microsoft.com/office/drawing/2014/main" id="{C76DE0F4-9BBF-A0B3-9E5E-D219230B5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1917700</xdr:colOff>
      <xdr:row>6</xdr:row>
      <xdr:rowOff>31750</xdr:rowOff>
    </xdr:from>
    <xdr:to>
      <xdr:col>3</xdr:col>
      <xdr:colOff>57150</xdr:colOff>
      <xdr:row>22</xdr:row>
      <xdr:rowOff>133350</xdr:rowOff>
    </xdr:to>
    <xdr:graphicFrame macro="">
      <xdr:nvGraphicFramePr>
        <xdr:cNvPr id="4" name="Chart 3">
          <a:extLst>
            <a:ext uri="{FF2B5EF4-FFF2-40B4-BE49-F238E27FC236}">
              <a16:creationId xmlns:a16="http://schemas.microsoft.com/office/drawing/2014/main" id="{88E61371-77B8-FD4E-31ED-F3DE7452D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257174</xdr:colOff>
      <xdr:row>1</xdr:row>
      <xdr:rowOff>139700</xdr:rowOff>
    </xdr:from>
    <xdr:to>
      <xdr:col>10</xdr:col>
      <xdr:colOff>552449</xdr:colOff>
      <xdr:row>19</xdr:row>
      <xdr:rowOff>63500</xdr:rowOff>
    </xdr:to>
    <xdr:graphicFrame macro="">
      <xdr:nvGraphicFramePr>
        <xdr:cNvPr id="3" name="Chart 2">
          <a:extLst>
            <a:ext uri="{FF2B5EF4-FFF2-40B4-BE49-F238E27FC236}">
              <a16:creationId xmlns:a16="http://schemas.microsoft.com/office/drawing/2014/main" id="{A3E575F5-C704-4B8E-B768-062B67F60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295275</xdr:colOff>
      <xdr:row>17</xdr:row>
      <xdr:rowOff>88900</xdr:rowOff>
    </xdr:to>
    <xdr:graphicFrame macro="">
      <xdr:nvGraphicFramePr>
        <xdr:cNvPr id="2" name="Chart 1">
          <a:extLst>
            <a:ext uri="{FF2B5EF4-FFF2-40B4-BE49-F238E27FC236}">
              <a16:creationId xmlns:a16="http://schemas.microsoft.com/office/drawing/2014/main" id="{D1F63F2E-10B5-4DC9-868C-CDF7B69D0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590550</xdr:colOff>
      <xdr:row>4</xdr:row>
      <xdr:rowOff>127000</xdr:rowOff>
    </xdr:from>
    <xdr:to>
      <xdr:col>10</xdr:col>
      <xdr:colOff>285750</xdr:colOff>
      <xdr:row>21</xdr:row>
      <xdr:rowOff>63500</xdr:rowOff>
    </xdr:to>
    <xdr:graphicFrame macro="">
      <xdr:nvGraphicFramePr>
        <xdr:cNvPr id="2" name="Chart 1">
          <a:extLst>
            <a:ext uri="{FF2B5EF4-FFF2-40B4-BE49-F238E27FC236}">
              <a16:creationId xmlns:a16="http://schemas.microsoft.com/office/drawing/2014/main" id="{59E6EA3F-4C74-6668-E7AC-508D6BE48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2959100</xdr:colOff>
      <xdr:row>7</xdr:row>
      <xdr:rowOff>127000</xdr:rowOff>
    </xdr:from>
    <xdr:to>
      <xdr:col>4</xdr:col>
      <xdr:colOff>368300</xdr:colOff>
      <xdr:row>24</xdr:row>
      <xdr:rowOff>63500</xdr:rowOff>
    </xdr:to>
    <xdr:graphicFrame macro="">
      <xdr:nvGraphicFramePr>
        <xdr:cNvPr id="3" name="Chart 2">
          <a:extLst>
            <a:ext uri="{FF2B5EF4-FFF2-40B4-BE49-F238E27FC236}">
              <a16:creationId xmlns:a16="http://schemas.microsoft.com/office/drawing/2014/main" id="{979E0E9C-CF75-63D9-B22F-FBD19E0C6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368300</xdr:colOff>
      <xdr:row>3</xdr:row>
      <xdr:rowOff>57150</xdr:rowOff>
    </xdr:from>
    <xdr:to>
      <xdr:col>10</xdr:col>
      <xdr:colOff>63500</xdr:colOff>
      <xdr:row>19</xdr:row>
      <xdr:rowOff>158750</xdr:rowOff>
    </xdr:to>
    <xdr:graphicFrame macro="">
      <xdr:nvGraphicFramePr>
        <xdr:cNvPr id="2" name="Chart 1">
          <a:extLst>
            <a:ext uri="{FF2B5EF4-FFF2-40B4-BE49-F238E27FC236}">
              <a16:creationId xmlns:a16="http://schemas.microsoft.com/office/drawing/2014/main" id="{AA104BFB-31B9-6354-C343-FEE5BC245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2895600</xdr:colOff>
      <xdr:row>4</xdr:row>
      <xdr:rowOff>34925</xdr:rowOff>
    </xdr:from>
    <xdr:to>
      <xdr:col>4</xdr:col>
      <xdr:colOff>355600</xdr:colOff>
      <xdr:row>20</xdr:row>
      <xdr:rowOff>136525</xdr:rowOff>
    </xdr:to>
    <xdr:graphicFrame macro="">
      <xdr:nvGraphicFramePr>
        <xdr:cNvPr id="2" name="Chart 1">
          <a:extLst>
            <a:ext uri="{FF2B5EF4-FFF2-40B4-BE49-F238E27FC236}">
              <a16:creationId xmlns:a16="http://schemas.microsoft.com/office/drawing/2014/main" id="{4961EACE-366C-241D-B707-80CCBE9E9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1917700</xdr:colOff>
      <xdr:row>5</xdr:row>
      <xdr:rowOff>15875</xdr:rowOff>
    </xdr:from>
    <xdr:to>
      <xdr:col>3</xdr:col>
      <xdr:colOff>158750</xdr:colOff>
      <xdr:row>21</xdr:row>
      <xdr:rowOff>117475</xdr:rowOff>
    </xdr:to>
    <xdr:graphicFrame macro="">
      <xdr:nvGraphicFramePr>
        <xdr:cNvPr id="2" name="Chart 1">
          <a:extLst>
            <a:ext uri="{FF2B5EF4-FFF2-40B4-BE49-F238E27FC236}">
              <a16:creationId xmlns:a16="http://schemas.microsoft.com/office/drawing/2014/main" id="{DABB8308-02BF-EA78-DDA1-98F419B60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2330450</xdr:colOff>
      <xdr:row>3</xdr:row>
      <xdr:rowOff>47624</xdr:rowOff>
    </xdr:from>
    <xdr:to>
      <xdr:col>4</xdr:col>
      <xdr:colOff>514350</xdr:colOff>
      <xdr:row>20</xdr:row>
      <xdr:rowOff>158750</xdr:rowOff>
    </xdr:to>
    <xdr:graphicFrame macro="">
      <xdr:nvGraphicFramePr>
        <xdr:cNvPr id="2" name="Chart 1">
          <a:extLst>
            <a:ext uri="{FF2B5EF4-FFF2-40B4-BE49-F238E27FC236}">
              <a16:creationId xmlns:a16="http://schemas.microsoft.com/office/drawing/2014/main" id="{A87E3466-82B9-1ED6-8F24-B73B29CFC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476250</xdr:colOff>
      <xdr:row>2</xdr:row>
      <xdr:rowOff>73025</xdr:rowOff>
    </xdr:from>
    <xdr:to>
      <xdr:col>10</xdr:col>
      <xdr:colOff>171450</xdr:colOff>
      <xdr:row>19</xdr:row>
      <xdr:rowOff>9525</xdr:rowOff>
    </xdr:to>
    <xdr:graphicFrame macro="">
      <xdr:nvGraphicFramePr>
        <xdr:cNvPr id="2" name="Chart 1">
          <a:extLst>
            <a:ext uri="{FF2B5EF4-FFF2-40B4-BE49-F238E27FC236}">
              <a16:creationId xmlns:a16="http://schemas.microsoft.com/office/drawing/2014/main" id="{97DE0714-2F19-1678-8ABE-9A1532345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673100</xdr:colOff>
      <xdr:row>5</xdr:row>
      <xdr:rowOff>15875</xdr:rowOff>
    </xdr:from>
    <xdr:to>
      <xdr:col>8</xdr:col>
      <xdr:colOff>565150</xdr:colOff>
      <xdr:row>21</xdr:row>
      <xdr:rowOff>117475</xdr:rowOff>
    </xdr:to>
    <xdr:graphicFrame macro="">
      <xdr:nvGraphicFramePr>
        <xdr:cNvPr id="2" name="Chart 1">
          <a:extLst>
            <a:ext uri="{FF2B5EF4-FFF2-40B4-BE49-F238E27FC236}">
              <a16:creationId xmlns:a16="http://schemas.microsoft.com/office/drawing/2014/main" id="{B42253C1-FCDC-E540-68CE-6C6172F4B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533400</xdr:colOff>
      <xdr:row>3</xdr:row>
      <xdr:rowOff>31750</xdr:rowOff>
    </xdr:from>
    <xdr:to>
      <xdr:col>6</xdr:col>
      <xdr:colOff>533400</xdr:colOff>
      <xdr:row>17</xdr:row>
      <xdr:rowOff>53972</xdr:rowOff>
    </xdr:to>
    <mc:AlternateContent xmlns:mc="http://schemas.openxmlformats.org/markup-compatibility/2006">
      <mc:Choice xmlns:a14="http://schemas.microsoft.com/office/drawing/2010/main" Requires="a14">
        <xdr:graphicFrame macro="">
          <xdr:nvGraphicFramePr>
            <xdr:cNvPr id="2" name="Discount Category">
              <a:extLst>
                <a:ext uri="{FF2B5EF4-FFF2-40B4-BE49-F238E27FC236}">
                  <a16:creationId xmlns:a16="http://schemas.microsoft.com/office/drawing/2014/main" id="{C1C9484C-C42A-56D7-2C49-5CEBF19D5A7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2622550" y="5270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4</xdr:row>
      <xdr:rowOff>57150</xdr:rowOff>
    </xdr:from>
    <xdr:to>
      <xdr:col>11</xdr:col>
      <xdr:colOff>304800</xdr:colOff>
      <xdr:row>18</xdr:row>
      <xdr:rowOff>79372</xdr:rowOff>
    </xdr:to>
    <mc:AlternateContent xmlns:mc="http://schemas.openxmlformats.org/markup-compatibility/2006">
      <mc:Choice xmlns:a14="http://schemas.microsoft.com/office/drawing/2010/main" Requires="a14">
        <xdr:graphicFrame macro="">
          <xdr:nvGraphicFramePr>
            <xdr:cNvPr id="3" name="Rating Category">
              <a:extLst>
                <a:ext uri="{FF2B5EF4-FFF2-40B4-BE49-F238E27FC236}">
                  <a16:creationId xmlns:a16="http://schemas.microsoft.com/office/drawing/2014/main" id="{91F9FAC9-9D4E-5AE4-075F-8274A87FB262}"/>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5441950" y="7175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4</xdr:row>
      <xdr:rowOff>114300</xdr:rowOff>
    </xdr:from>
    <xdr:to>
      <xdr:col>14</xdr:col>
      <xdr:colOff>571500</xdr:colOff>
      <xdr:row>18</xdr:row>
      <xdr:rowOff>136522</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793193CD-B5EF-40BD-64C6-19A4C978C98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37450" y="7747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104475694447" createdVersion="8" refreshedVersion="8" minRefreshableVersion="3" recordCount="112" xr:uid="{65FD227F-A90C-473F-80CA-5E9359F17384}">
  <cacheSource type="worksheet">
    <worksheetSource ref="A1:M113" sheet="Excel_jumia_Cleaned_Data"/>
  </cacheSource>
  <cacheFields count="13">
    <cacheField name="Product" numFmtId="0">
      <sharedItems count="112">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Average"/>
        <s v="Most expensive"/>
        <s v="Least Expensive"/>
      </sharedItems>
    </cacheField>
    <cacheField name="Current price(Ksh)" numFmtId="3">
      <sharedItems containsSemiMixedTypes="0" containsString="0" containsNumber="1" minValue="38" maxValue="3750"/>
    </cacheField>
    <cacheField name="old price(Ksh)" numFmtId="3">
      <sharedItems containsSemiMixedTypes="0" containsString="0" containsNumber="1" minValue="80" maxValue="6143"/>
    </cacheField>
    <cacheField name="Discount" numFmtId="9">
      <sharedItems containsString="0" containsBlank="1" containsNumber="1" minValue="0.01" maxValue="0.64" count="48">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385321100917423"/>
        <m/>
      </sharedItems>
    </cacheField>
    <cacheField name="Review" numFmtId="0">
      <sharedItems containsString="0" containsBlank="1" containsNumber="1" containsInteger="1" minValue="-69" maxValue="-1" count="24">
        <n v="-2"/>
        <n v="-14"/>
        <n v="-24"/>
        <n v="-7"/>
        <n v="-5"/>
        <n v="-15"/>
        <n v="-55"/>
        <n v="-12"/>
        <n v="-39"/>
        <n v="-6"/>
        <n v="-9"/>
        <n v="-3"/>
        <n v="-44"/>
        <n v="-13"/>
        <m/>
        <n v="-49"/>
        <n v="-20"/>
        <n v="-32"/>
        <n v="-1"/>
        <n v="-36"/>
        <n v="-10"/>
        <n v="-69"/>
        <n v="-16"/>
        <n v="-17"/>
      </sharedItems>
    </cacheField>
    <cacheField name="Rating"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ating_Clean" numFmtId="164">
      <sharedItems containsBlank="1" containsMixedTypes="1" containsNumber="1" minValue="2" maxValue="5" count="24">
        <n v="4.5"/>
        <n v="4.0999999999999996"/>
        <n v="4.5999999999999996"/>
        <n v="4.7"/>
        <n v="4.8"/>
        <n v="4"/>
        <n v="3.8"/>
        <n v="4.2"/>
        <n v="5"/>
        <n v="3.3"/>
        <s v=""/>
        <n v="4.4000000000000004"/>
        <n v="4.3"/>
        <n v="2.5"/>
        <n v="3"/>
        <n v="2.1"/>
        <n v="2.8"/>
        <n v="2.7"/>
        <n v="2.9"/>
        <n v="2.2000000000000002"/>
        <n v="2.2999999999999998"/>
        <n v="2.6"/>
        <n v="2"/>
        <m/>
      </sharedItems>
    </cacheField>
    <cacheField name="Has_Rating" numFmtId="0">
      <sharedItems containsString="0" containsBlank="1" containsNumber="1" containsInteger="1" minValue="0" maxValue="1"/>
    </cacheField>
    <cacheField name="Has_Review" numFmtId="0">
      <sharedItems containsString="0" containsBlank="1" containsNumber="1" containsInteger="1" minValue="0" maxValue="1"/>
    </cacheField>
    <cacheField name="Review Sentiments" numFmtId="0">
      <sharedItems containsString="0" containsBlank="1" containsNumber="1" containsInteger="1" minValue="0" maxValue="69"/>
    </cacheField>
    <cacheField name="Discount Amount" numFmtId="0">
      <sharedItems containsString="0" containsBlank="1" containsNumber="1" containsInteger="1" minValue="24" maxValue="2585"/>
    </cacheField>
    <cacheField name="Rating Category" numFmtId="0">
      <sharedItems containsBlank="1" count="4">
        <s v="Excellent"/>
        <s v="Average"/>
        <s v="Poor"/>
        <m/>
      </sharedItems>
    </cacheField>
    <cacheField name="Discount Category" numFmtId="0">
      <sharedItems containsBlank="1" count="4">
        <s v="Medium Discount"/>
        <s v="High Discount"/>
        <s v="Low Discount"/>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605644097224" createdVersion="8" refreshedVersion="8" minRefreshableVersion="3" recordCount="115" xr:uid="{A5FBC4B1-02CC-476E-A37E-09A299994BDE}">
  <cacheSource type="worksheet">
    <worksheetSource ref="A1:F116" sheet="Excel_jumia_Final"/>
  </cacheSource>
  <cacheFields count="6">
    <cacheField name="Product" numFmtId="0">
      <sharedItems/>
    </cacheField>
    <cacheField name="Current price" numFmtId="0">
      <sharedItems/>
    </cacheField>
    <cacheField name="old price" numFmtId="0">
      <sharedItems/>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Rating"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645032638888" createdVersion="8" refreshedVersion="8" minRefreshableVersion="3" recordCount="109" xr:uid="{AC9BDCCB-D315-48D1-B741-E8B5342942BF}">
  <cacheSource type="worksheet">
    <worksheetSource ref="A1:M110" sheet="Excel_jumia_Cleaned_Data"/>
  </cacheSource>
  <cacheFields count="13">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Ksh)" numFmtId="3">
      <sharedItems containsSemiMixedTypes="0" containsString="0" containsNumber="1" containsInteger="1" minValue="38" maxValue="3750"/>
    </cacheField>
    <cacheField name="old price(Ksh)" numFmtId="3">
      <sharedItems containsSemiMixedTypes="0" containsString="0" containsNumber="1" containsInteger="1" minValue="80" maxValue="6143"/>
    </cacheField>
    <cacheField name="Discount" numFmtId="9">
      <sharedItems containsSemiMixedTypes="0" containsString="0" containsNumber="1" minValue="0.38" maxValue="0.38" count="1">
        <n v="0.38"/>
      </sharedItems>
    </cacheField>
    <cacheField name="Review" numFmtId="0">
      <sharedItems containsString="0" containsBlank="1" containsNumber="1" containsInteger="1" minValue="-69" maxValue="-1"/>
    </cacheField>
    <cacheField name="Rating" numFmtId="0">
      <sharedItems containsBlank="1"/>
    </cacheField>
    <cacheField name="Rating_Clean" numFmtId="164">
      <sharedItems containsMixedTypes="1" containsNumber="1" minValue="2" maxValue="5" count="23">
        <n v="4.5"/>
        <n v="4.0999999999999996"/>
        <n v="4.5999999999999996"/>
        <n v="4.7"/>
        <n v="4.8"/>
        <n v="4"/>
        <n v="3.8"/>
        <n v="4.2"/>
        <n v="5"/>
        <n v="3.3"/>
        <s v=""/>
        <n v="4.4000000000000004"/>
        <n v="4.3"/>
        <n v="2.5"/>
        <n v="3"/>
        <n v="2.1"/>
        <n v="2.8"/>
        <n v="2.7"/>
        <n v="2.9"/>
        <n v="2.2000000000000002"/>
        <n v="2.2999999999999998"/>
        <n v="2.6"/>
        <n v="2"/>
      </sharedItems>
    </cacheField>
    <cacheField name="Has_Rating" numFmtId="0">
      <sharedItems containsString="0" containsBlank="1" containsNumber="1" containsInteger="1" minValue="0" maxValue="1"/>
    </cacheField>
    <cacheField name="Has_Review" numFmtId="0">
      <sharedItems containsSemiMixedTypes="0" containsString="0" containsNumber="1" containsInteger="1" minValue="0" maxValue="1"/>
    </cacheField>
    <cacheField name="Review Sentiments"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Discount Amount" numFmtId="3">
      <sharedItems containsSemiMixedTypes="0" containsString="0" containsNumber="1" containsInteger="1" minValue="24" maxValue="2585"/>
    </cacheField>
    <cacheField name="Rating Category" numFmtId="0">
      <sharedItems count="3">
        <s v="Excellent"/>
        <s v="Average"/>
        <s v="Poor"/>
      </sharedItems>
    </cacheField>
    <cacheField name="Discount Category" numFmtId="0">
      <sharedItems count="1">
        <s v="Medium Discoun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663518634261" createdVersion="8" refreshedVersion="8" minRefreshableVersion="3" recordCount="112" xr:uid="{E6D52318-AA85-401B-88D8-702167B9015A}">
  <cacheSource type="worksheet">
    <worksheetSource ref="A1:F113" sheet="Excel_jumia_Final"/>
  </cacheSource>
  <cacheFields count="6">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old price" numFmtId="0">
      <sharedItems/>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Rating"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6.705132986113" createdVersion="8" refreshedVersion="8" minRefreshableVersion="3" recordCount="112" xr:uid="{B6D60E89-87B8-4C54-9EF4-65657E5EE976}">
  <cacheSource type="worksheet">
    <worksheetSource ref="A1:G113" sheet="Excel_jumia_Final"/>
  </cacheSource>
  <cacheFields count="7">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old price" numFmtId="0">
      <sharedItems/>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Rating" numFmtId="0">
      <sharedItems containsBlank="1"/>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626929282407" createdVersion="8" refreshedVersion="8" minRefreshableVersion="3" recordCount="112" xr:uid="{B6019B8D-B259-445A-8AA3-1733142063E7}">
  <cacheSource type="worksheet">
    <worksheetSource ref="A1:N113" sheet="Excel_jumia_Final"/>
  </cacheSource>
  <cacheFields count="14">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acheField>
    <cacheField name="Discount" numFmtId="9">
      <sharedItems containsSemiMixedTypes="0" containsString="0" containsNumber="1" minValue="0.01" maxValue="0.64"/>
    </cacheField>
    <cacheField name="Review" numFmtId="0">
      <sharedItems containsString="0" containsBlank="1" containsNumber="1" containsInteger="1" minValue="-69" maxValue="-1"/>
    </cacheField>
    <cacheField name="Rating" numFmtId="0">
      <sharedItems containsBlank="1"/>
    </cacheField>
    <cacheField name="Discount Category" numFmtId="0">
      <sharedItems count="3">
        <s v="Medium Discount"/>
        <s v="High Discount"/>
        <s v="Low Discount"/>
      </sharedItems>
    </cacheField>
    <cacheField name="Review (Positive)" numFmtId="164">
      <sharedItems containsSemiMixedTypes="0" containsString="0" containsNumber="1" containsInteger="1" minValue="0" maxValue="69"/>
    </cacheField>
    <cacheField name="Rating_Clean" numFmtId="164">
      <sharedItems containsMixedTypes="1" containsNumber="1" minValue="2" maxValue="5" count="23">
        <n v="4.5"/>
        <n v="4.0999999999999996"/>
        <n v="4.5999999999999996"/>
        <n v="4.7"/>
        <n v="4.8"/>
        <n v="4"/>
        <n v="3.8"/>
        <n v="4.2"/>
        <n v="5"/>
        <n v="3.3"/>
        <s v=""/>
        <n v="4.4000000000000004"/>
        <n v="4.3"/>
        <n v="2.5"/>
        <n v="3"/>
        <n v="2.1"/>
        <n v="2.8"/>
        <n v="2.7"/>
        <n v="2.9"/>
        <n v="2.2000000000000002"/>
        <n v="2.2999999999999998"/>
        <n v="2.6"/>
        <n v="2"/>
      </sharedItems>
    </cacheField>
    <cacheField name="Current Price (KSH)" numFmtId="0">
      <sharedItems containsSemiMixedTypes="0" containsString="0" containsNumber="1" containsInteger="1" minValue="38" maxValue="3750"/>
    </cacheField>
    <cacheField name="Old Price (KSH)" numFmtId="0">
      <sharedItems containsSemiMixedTypes="0" containsString="0" containsNumber="1" containsInteger="1" minValue="80" maxValue="6143"/>
    </cacheField>
    <cacheField name="Discount Amount" numFmtId="0">
      <sharedItems containsSemiMixedTypes="0" containsString="0" containsNumber="1" containsInteger="1" minValue="24" maxValue="2585"/>
    </cacheField>
    <cacheField name="Rating Category" numFmtId="0">
      <sharedItems count="3">
        <s v="Excellent"/>
        <s v="Average"/>
        <s v="Poor"/>
      </sharedItems>
    </cacheField>
    <cacheField name="Discount Category2" numFmtId="0">
      <sharedItems/>
    </cacheField>
  </cacheFields>
  <extLst>
    <ext xmlns:x14="http://schemas.microsoft.com/office/spreadsheetml/2009/9/main" uri="{725AE2AE-9491-48be-B2B4-4EB974FC3084}">
      <x14:pivotCacheDefinition pivotCacheId="1264973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x v="0"/>
    <x v="0"/>
    <x v="0"/>
    <n v="1"/>
    <n v="1"/>
    <n v="2"/>
    <n v="575"/>
    <x v="0"/>
    <x v="0"/>
  </r>
  <r>
    <x v="1"/>
    <n v="527"/>
    <n v="999"/>
    <x v="1"/>
    <x v="1"/>
    <x v="1"/>
    <x v="1"/>
    <n v="1"/>
    <n v="1"/>
    <n v="14"/>
    <n v="472"/>
    <x v="1"/>
    <x v="1"/>
  </r>
  <r>
    <x v="2"/>
    <n v="2199"/>
    <n v="2923"/>
    <x v="2"/>
    <x v="2"/>
    <x v="2"/>
    <x v="2"/>
    <n v="1"/>
    <n v="1"/>
    <n v="24"/>
    <n v="724"/>
    <x v="0"/>
    <x v="0"/>
  </r>
  <r>
    <x v="3"/>
    <n v="1580"/>
    <n v="2499"/>
    <x v="3"/>
    <x v="3"/>
    <x v="3"/>
    <x v="3"/>
    <n v="1"/>
    <n v="1"/>
    <n v="7"/>
    <n v="919"/>
    <x v="0"/>
    <x v="0"/>
  </r>
  <r>
    <x v="4"/>
    <n v="1740"/>
    <n v="2356"/>
    <x v="4"/>
    <x v="4"/>
    <x v="4"/>
    <x v="4"/>
    <n v="1"/>
    <n v="1"/>
    <n v="5"/>
    <n v="616"/>
    <x v="0"/>
    <x v="0"/>
  </r>
  <r>
    <x v="5"/>
    <n v="2999"/>
    <n v="3290"/>
    <x v="5"/>
    <x v="5"/>
    <x v="5"/>
    <x v="5"/>
    <n v="1"/>
    <n v="1"/>
    <n v="15"/>
    <n v="291"/>
    <x v="1"/>
    <x v="2"/>
  </r>
  <r>
    <x v="6"/>
    <n v="2319"/>
    <n v="3032"/>
    <x v="6"/>
    <x v="6"/>
    <x v="2"/>
    <x v="2"/>
    <n v="1"/>
    <n v="1"/>
    <n v="55"/>
    <n v="713"/>
    <x v="0"/>
    <x v="0"/>
  </r>
  <r>
    <x v="7"/>
    <n v="988"/>
    <n v="1580"/>
    <x v="3"/>
    <x v="0"/>
    <x v="5"/>
    <x v="5"/>
    <n v="1"/>
    <n v="1"/>
    <n v="2"/>
    <n v="592"/>
    <x v="1"/>
    <x v="0"/>
  </r>
  <r>
    <x v="8"/>
    <n v="1274"/>
    <n v="2800"/>
    <x v="7"/>
    <x v="4"/>
    <x v="4"/>
    <x v="4"/>
    <n v="1"/>
    <n v="1"/>
    <n v="5"/>
    <n v="1526"/>
    <x v="0"/>
    <x v="1"/>
  </r>
  <r>
    <x v="9"/>
    <n v="1600"/>
    <n v="2929"/>
    <x v="8"/>
    <x v="4"/>
    <x v="6"/>
    <x v="6"/>
    <n v="1"/>
    <n v="1"/>
    <n v="5"/>
    <n v="1329"/>
    <x v="1"/>
    <x v="1"/>
  </r>
  <r>
    <x v="10"/>
    <n v="799"/>
    <n v="999"/>
    <x v="9"/>
    <x v="7"/>
    <x v="1"/>
    <x v="1"/>
    <n v="1"/>
    <n v="1"/>
    <n v="12"/>
    <n v="200"/>
    <x v="1"/>
    <x v="0"/>
  </r>
  <r>
    <x v="11"/>
    <n v="990"/>
    <n v="1500"/>
    <x v="10"/>
    <x v="8"/>
    <x v="3"/>
    <x v="3"/>
    <n v="1"/>
    <n v="1"/>
    <n v="39"/>
    <n v="510"/>
    <x v="0"/>
    <x v="0"/>
  </r>
  <r>
    <x v="12"/>
    <n v="552"/>
    <n v="1035"/>
    <x v="1"/>
    <x v="7"/>
    <x v="4"/>
    <x v="4"/>
    <n v="1"/>
    <n v="1"/>
    <n v="12"/>
    <n v="483"/>
    <x v="0"/>
    <x v="1"/>
  </r>
  <r>
    <x v="13"/>
    <n v="501"/>
    <n v="860"/>
    <x v="11"/>
    <x v="9"/>
    <x v="0"/>
    <x v="0"/>
    <n v="1"/>
    <n v="1"/>
    <n v="6"/>
    <n v="359"/>
    <x v="0"/>
    <x v="1"/>
  </r>
  <r>
    <x v="14"/>
    <n v="1680"/>
    <n v="2499"/>
    <x v="12"/>
    <x v="10"/>
    <x v="7"/>
    <x v="7"/>
    <n v="1"/>
    <n v="1"/>
    <n v="9"/>
    <n v="819"/>
    <x v="1"/>
    <x v="0"/>
  </r>
  <r>
    <x v="15"/>
    <n v="332"/>
    <n v="684"/>
    <x v="13"/>
    <x v="0"/>
    <x v="8"/>
    <x v="8"/>
    <n v="1"/>
    <n v="1"/>
    <n v="2"/>
    <n v="352"/>
    <x v="0"/>
    <x v="1"/>
  </r>
  <r>
    <x v="16"/>
    <n v="195"/>
    <n v="360"/>
    <x v="14"/>
    <x v="0"/>
    <x v="8"/>
    <x v="8"/>
    <n v="1"/>
    <n v="1"/>
    <n v="2"/>
    <n v="165"/>
    <x v="0"/>
    <x v="1"/>
  </r>
  <r>
    <x v="17"/>
    <n v="2025"/>
    <n v="3971"/>
    <x v="15"/>
    <x v="11"/>
    <x v="8"/>
    <x v="8"/>
    <n v="1"/>
    <n v="1"/>
    <n v="3"/>
    <n v="1946"/>
    <x v="0"/>
    <x v="1"/>
  </r>
  <r>
    <x v="18"/>
    <n v="2999"/>
    <n v="3699"/>
    <x v="16"/>
    <x v="4"/>
    <x v="2"/>
    <x v="2"/>
    <n v="1"/>
    <n v="1"/>
    <n v="5"/>
    <n v="700"/>
    <x v="0"/>
    <x v="2"/>
  </r>
  <r>
    <x v="19"/>
    <n v="998"/>
    <n v="1966"/>
    <x v="15"/>
    <x v="12"/>
    <x v="2"/>
    <x v="2"/>
    <n v="1"/>
    <n v="1"/>
    <n v="44"/>
    <n v="968"/>
    <x v="0"/>
    <x v="1"/>
  </r>
  <r>
    <x v="20"/>
    <n v="38"/>
    <n v="80"/>
    <x v="17"/>
    <x v="13"/>
    <x v="9"/>
    <x v="9"/>
    <n v="1"/>
    <n v="1"/>
    <n v="13"/>
    <n v="42"/>
    <x v="1"/>
    <x v="1"/>
  </r>
  <r>
    <x v="21"/>
    <n v="1860"/>
    <n v="3220"/>
    <x v="11"/>
    <x v="14"/>
    <x v="10"/>
    <x v="10"/>
    <n v="0"/>
    <n v="0"/>
    <n v="0"/>
    <n v="1360"/>
    <x v="0"/>
    <x v="1"/>
  </r>
  <r>
    <x v="22"/>
    <n v="880"/>
    <n v="1350"/>
    <x v="18"/>
    <x v="9"/>
    <x v="5"/>
    <x v="5"/>
    <n v="1"/>
    <n v="1"/>
    <n v="6"/>
    <n v="470"/>
    <x v="1"/>
    <x v="0"/>
  </r>
  <r>
    <x v="23"/>
    <n v="1650"/>
    <n v="2150"/>
    <x v="19"/>
    <x v="1"/>
    <x v="11"/>
    <x v="11"/>
    <n v="1"/>
    <n v="1"/>
    <n v="14"/>
    <n v="500"/>
    <x v="1"/>
    <x v="0"/>
  </r>
  <r>
    <x v="24"/>
    <n v="2048"/>
    <n v="4500"/>
    <x v="20"/>
    <x v="3"/>
    <x v="12"/>
    <x v="12"/>
    <n v="1"/>
    <n v="1"/>
    <n v="7"/>
    <n v="2452"/>
    <x v="1"/>
    <x v="1"/>
  </r>
  <r>
    <x v="25"/>
    <n v="420"/>
    <n v="647"/>
    <x v="18"/>
    <x v="15"/>
    <x v="2"/>
    <x v="2"/>
    <n v="1"/>
    <n v="1"/>
    <n v="49"/>
    <n v="227"/>
    <x v="0"/>
    <x v="0"/>
  </r>
  <r>
    <x v="26"/>
    <n v="2880"/>
    <n v="3520"/>
    <x v="21"/>
    <x v="7"/>
    <x v="6"/>
    <x v="6"/>
    <n v="1"/>
    <n v="1"/>
    <n v="12"/>
    <n v="640"/>
    <x v="1"/>
    <x v="2"/>
  </r>
  <r>
    <x v="27"/>
    <n v="1350"/>
    <n v="1990"/>
    <x v="22"/>
    <x v="13"/>
    <x v="6"/>
    <x v="6"/>
    <n v="1"/>
    <n v="1"/>
    <n v="13"/>
    <n v="640"/>
    <x v="1"/>
    <x v="0"/>
  </r>
  <r>
    <x v="28"/>
    <n v="1758"/>
    <n v="2499"/>
    <x v="23"/>
    <x v="16"/>
    <x v="1"/>
    <x v="1"/>
    <n v="1"/>
    <n v="1"/>
    <n v="20"/>
    <n v="741"/>
    <x v="1"/>
    <x v="0"/>
  </r>
  <r>
    <x v="29"/>
    <n v="2200"/>
    <n v="4080"/>
    <x v="14"/>
    <x v="14"/>
    <x v="10"/>
    <x v="10"/>
    <n v="0"/>
    <n v="0"/>
    <n v="0"/>
    <n v="1880"/>
    <x v="0"/>
    <x v="1"/>
  </r>
  <r>
    <x v="30"/>
    <n v="185"/>
    <n v="382"/>
    <x v="24"/>
    <x v="10"/>
    <x v="12"/>
    <x v="12"/>
    <n v="1"/>
    <n v="1"/>
    <n v="9"/>
    <n v="197"/>
    <x v="1"/>
    <x v="1"/>
  </r>
  <r>
    <x v="31"/>
    <n v="980"/>
    <n v="1490"/>
    <x v="10"/>
    <x v="7"/>
    <x v="3"/>
    <x v="3"/>
    <n v="1"/>
    <n v="1"/>
    <n v="12"/>
    <n v="510"/>
    <x v="0"/>
    <x v="0"/>
  </r>
  <r>
    <x v="32"/>
    <n v="1820"/>
    <n v="3490"/>
    <x v="25"/>
    <x v="10"/>
    <x v="12"/>
    <x v="12"/>
    <n v="1"/>
    <n v="1"/>
    <n v="9"/>
    <n v="1670"/>
    <x v="1"/>
    <x v="1"/>
  </r>
  <r>
    <x v="33"/>
    <n v="1940"/>
    <n v="2650"/>
    <x v="26"/>
    <x v="16"/>
    <x v="3"/>
    <x v="3"/>
    <n v="1"/>
    <n v="1"/>
    <n v="20"/>
    <n v="710"/>
    <x v="0"/>
    <x v="0"/>
  </r>
  <r>
    <x v="34"/>
    <n v="1980"/>
    <n v="2699"/>
    <x v="26"/>
    <x v="17"/>
    <x v="0"/>
    <x v="0"/>
    <n v="1"/>
    <n v="1"/>
    <n v="32"/>
    <n v="719"/>
    <x v="0"/>
    <x v="0"/>
  </r>
  <r>
    <x v="35"/>
    <n v="1620"/>
    <n v="2690"/>
    <x v="27"/>
    <x v="18"/>
    <x v="8"/>
    <x v="8"/>
    <n v="1"/>
    <n v="1"/>
    <n v="1"/>
    <n v="1070"/>
    <x v="0"/>
    <x v="0"/>
  </r>
  <r>
    <x v="36"/>
    <n v="171"/>
    <n v="360"/>
    <x v="17"/>
    <x v="0"/>
    <x v="8"/>
    <x v="8"/>
    <n v="1"/>
    <n v="1"/>
    <n v="2"/>
    <n v="189"/>
    <x v="0"/>
    <x v="1"/>
  </r>
  <r>
    <x v="37"/>
    <n v="389"/>
    <n v="656"/>
    <x v="28"/>
    <x v="19"/>
    <x v="12"/>
    <x v="12"/>
    <n v="1"/>
    <n v="1"/>
    <n v="36"/>
    <n v="267"/>
    <x v="1"/>
    <x v="1"/>
  </r>
  <r>
    <x v="38"/>
    <n v="1800"/>
    <n v="2700"/>
    <x v="0"/>
    <x v="0"/>
    <x v="0"/>
    <x v="0"/>
    <n v="1"/>
    <n v="1"/>
    <n v="2"/>
    <n v="900"/>
    <x v="0"/>
    <x v="0"/>
  </r>
  <r>
    <x v="39"/>
    <n v="2750"/>
    <n v="4471"/>
    <x v="0"/>
    <x v="14"/>
    <x v="10"/>
    <x v="10"/>
    <n v="0"/>
    <n v="0"/>
    <n v="0"/>
    <n v="1721"/>
    <x v="0"/>
    <x v="0"/>
  </r>
  <r>
    <x v="40"/>
    <n v="475"/>
    <n v="931"/>
    <x v="15"/>
    <x v="14"/>
    <x v="10"/>
    <x v="10"/>
    <n v="0"/>
    <n v="0"/>
    <n v="0"/>
    <n v="456"/>
    <x v="0"/>
    <x v="1"/>
  </r>
  <r>
    <x v="41"/>
    <n v="238"/>
    <n v="476"/>
    <x v="29"/>
    <x v="14"/>
    <x v="10"/>
    <x v="10"/>
    <n v="0"/>
    <n v="0"/>
    <n v="0"/>
    <n v="238"/>
    <x v="0"/>
    <x v="1"/>
  </r>
  <r>
    <x v="42"/>
    <n v="610"/>
    <n v="1060"/>
    <x v="11"/>
    <x v="14"/>
    <x v="10"/>
    <x v="10"/>
    <n v="0"/>
    <n v="0"/>
    <n v="0"/>
    <n v="450"/>
    <x v="0"/>
    <x v="1"/>
  </r>
  <r>
    <x v="43"/>
    <n v="2132"/>
    <n v="2169"/>
    <x v="30"/>
    <x v="14"/>
    <x v="10"/>
    <x v="10"/>
    <n v="0"/>
    <n v="0"/>
    <n v="0"/>
    <n v="37"/>
    <x v="0"/>
    <x v="2"/>
  </r>
  <r>
    <x v="44"/>
    <n v="999"/>
    <n v="2000"/>
    <x v="29"/>
    <x v="14"/>
    <x v="10"/>
    <x v="10"/>
    <n v="0"/>
    <n v="0"/>
    <n v="0"/>
    <n v="1001"/>
    <x v="0"/>
    <x v="1"/>
  </r>
  <r>
    <x v="45"/>
    <n v="1190"/>
    <n v="1785"/>
    <x v="12"/>
    <x v="14"/>
    <x v="10"/>
    <x v="10"/>
    <n v="0"/>
    <n v="0"/>
    <n v="0"/>
    <n v="595"/>
    <x v="0"/>
    <x v="0"/>
  </r>
  <r>
    <x v="46"/>
    <n v="671"/>
    <n v="1316"/>
    <x v="15"/>
    <x v="14"/>
    <x v="10"/>
    <x v="10"/>
    <n v="0"/>
    <n v="0"/>
    <n v="0"/>
    <n v="645"/>
    <x v="0"/>
    <x v="1"/>
  </r>
  <r>
    <x v="47"/>
    <n v="1200"/>
    <n v="1950"/>
    <x v="0"/>
    <x v="14"/>
    <x v="10"/>
    <x v="10"/>
    <n v="0"/>
    <n v="0"/>
    <n v="0"/>
    <n v="750"/>
    <x v="0"/>
    <x v="0"/>
  </r>
  <r>
    <x v="48"/>
    <n v="199"/>
    <n v="504"/>
    <x v="31"/>
    <x v="14"/>
    <x v="10"/>
    <x v="10"/>
    <n v="0"/>
    <n v="0"/>
    <n v="0"/>
    <n v="305"/>
    <x v="0"/>
    <x v="1"/>
  </r>
  <r>
    <x v="49"/>
    <n v="299"/>
    <n v="600"/>
    <x v="29"/>
    <x v="14"/>
    <x v="10"/>
    <x v="10"/>
    <n v="0"/>
    <n v="0"/>
    <n v="0"/>
    <n v="301"/>
    <x v="0"/>
    <x v="1"/>
  </r>
  <r>
    <x v="50"/>
    <n v="1660"/>
    <n v="1699"/>
    <x v="30"/>
    <x v="14"/>
    <x v="10"/>
    <x v="10"/>
    <n v="0"/>
    <n v="0"/>
    <n v="0"/>
    <n v="39"/>
    <x v="0"/>
    <x v="2"/>
  </r>
  <r>
    <x v="51"/>
    <n v="299"/>
    <n v="384"/>
    <x v="32"/>
    <x v="14"/>
    <x v="10"/>
    <x v="10"/>
    <n v="0"/>
    <n v="0"/>
    <n v="0"/>
    <n v="85"/>
    <x v="0"/>
    <x v="0"/>
  </r>
  <r>
    <x v="52"/>
    <n v="1459"/>
    <n v="1499"/>
    <x v="33"/>
    <x v="14"/>
    <x v="10"/>
    <x v="10"/>
    <n v="0"/>
    <n v="0"/>
    <n v="0"/>
    <n v="40"/>
    <x v="0"/>
    <x v="2"/>
  </r>
  <r>
    <x v="53"/>
    <n v="799"/>
    <n v="1343"/>
    <x v="28"/>
    <x v="14"/>
    <x v="10"/>
    <x v="10"/>
    <n v="0"/>
    <n v="0"/>
    <n v="0"/>
    <n v="544"/>
    <x v="0"/>
    <x v="1"/>
  </r>
  <r>
    <x v="54"/>
    <n v="499"/>
    <n v="900"/>
    <x v="8"/>
    <x v="14"/>
    <x v="10"/>
    <x v="10"/>
    <n v="0"/>
    <n v="0"/>
    <n v="0"/>
    <n v="401"/>
    <x v="0"/>
    <x v="1"/>
  </r>
  <r>
    <x v="55"/>
    <n v="699"/>
    <n v="1343"/>
    <x v="25"/>
    <x v="14"/>
    <x v="10"/>
    <x v="10"/>
    <n v="0"/>
    <n v="0"/>
    <n v="0"/>
    <n v="644"/>
    <x v="0"/>
    <x v="1"/>
  </r>
  <r>
    <x v="56"/>
    <n v="799"/>
    <n v="1567"/>
    <x v="15"/>
    <x v="14"/>
    <x v="10"/>
    <x v="10"/>
    <n v="0"/>
    <n v="0"/>
    <n v="0"/>
    <n v="768"/>
    <x v="0"/>
    <x v="1"/>
  </r>
  <r>
    <x v="57"/>
    <n v="2799"/>
    <n v="3810"/>
    <x v="26"/>
    <x v="14"/>
    <x v="10"/>
    <x v="10"/>
    <n v="0"/>
    <n v="0"/>
    <n v="0"/>
    <n v="1011"/>
    <x v="0"/>
    <x v="0"/>
  </r>
  <r>
    <x v="58"/>
    <n v="2170"/>
    <n v="2500"/>
    <x v="34"/>
    <x v="9"/>
    <x v="13"/>
    <x v="13"/>
    <n v="1"/>
    <n v="1"/>
    <n v="6"/>
    <n v="330"/>
    <x v="2"/>
    <x v="2"/>
  </r>
  <r>
    <x v="59"/>
    <n v="458"/>
    <n v="986"/>
    <x v="20"/>
    <x v="20"/>
    <x v="14"/>
    <x v="14"/>
    <n v="1"/>
    <n v="1"/>
    <n v="10"/>
    <n v="528"/>
    <x v="1"/>
    <x v="1"/>
  </r>
  <r>
    <x v="60"/>
    <n v="2115"/>
    <n v="4700"/>
    <x v="7"/>
    <x v="13"/>
    <x v="15"/>
    <x v="15"/>
    <n v="1"/>
    <n v="1"/>
    <n v="13"/>
    <n v="2585"/>
    <x v="2"/>
    <x v="1"/>
  </r>
  <r>
    <x v="61"/>
    <n v="445"/>
    <n v="873"/>
    <x v="15"/>
    <x v="21"/>
    <x v="16"/>
    <x v="16"/>
    <n v="1"/>
    <n v="1"/>
    <n v="69"/>
    <n v="428"/>
    <x v="2"/>
    <x v="1"/>
  </r>
  <r>
    <x v="62"/>
    <n v="325"/>
    <n v="680"/>
    <x v="24"/>
    <x v="5"/>
    <x v="17"/>
    <x v="17"/>
    <n v="1"/>
    <n v="1"/>
    <n v="15"/>
    <n v="355"/>
    <x v="2"/>
    <x v="1"/>
  </r>
  <r>
    <x v="63"/>
    <n v="1220"/>
    <n v="1555"/>
    <x v="32"/>
    <x v="22"/>
    <x v="18"/>
    <x v="18"/>
    <n v="1"/>
    <n v="1"/>
    <n v="16"/>
    <n v="335"/>
    <x v="2"/>
    <x v="0"/>
  </r>
  <r>
    <x v="64"/>
    <n v="990"/>
    <n v="1814"/>
    <x v="8"/>
    <x v="9"/>
    <x v="19"/>
    <x v="19"/>
    <n v="1"/>
    <n v="1"/>
    <n v="6"/>
    <n v="824"/>
    <x v="2"/>
    <x v="1"/>
  </r>
  <r>
    <x v="65"/>
    <n v="1000"/>
    <n v="2000"/>
    <x v="29"/>
    <x v="3"/>
    <x v="20"/>
    <x v="20"/>
    <n v="1"/>
    <n v="1"/>
    <n v="7"/>
    <n v="1000"/>
    <x v="2"/>
    <x v="1"/>
  </r>
  <r>
    <x v="66"/>
    <n v="3750"/>
    <n v="6143"/>
    <x v="35"/>
    <x v="4"/>
    <x v="14"/>
    <x v="14"/>
    <n v="1"/>
    <n v="1"/>
    <n v="5"/>
    <n v="2393"/>
    <x v="1"/>
    <x v="0"/>
  </r>
  <r>
    <x v="67"/>
    <n v="382"/>
    <n v="700"/>
    <x v="8"/>
    <x v="23"/>
    <x v="21"/>
    <x v="21"/>
    <n v="1"/>
    <n v="1"/>
    <n v="17"/>
    <n v="318"/>
    <x v="2"/>
    <x v="1"/>
  </r>
  <r>
    <x v="68"/>
    <n v="2300"/>
    <n v="3240"/>
    <x v="36"/>
    <x v="4"/>
    <x v="14"/>
    <x v="14"/>
    <n v="1"/>
    <n v="1"/>
    <n v="5"/>
    <n v="940"/>
    <x v="1"/>
    <x v="0"/>
  </r>
  <r>
    <x v="69"/>
    <n v="345"/>
    <n v="602"/>
    <x v="37"/>
    <x v="9"/>
    <x v="20"/>
    <x v="20"/>
    <n v="1"/>
    <n v="1"/>
    <n v="6"/>
    <n v="257"/>
    <x v="2"/>
    <x v="1"/>
  </r>
  <r>
    <x v="70"/>
    <n v="509"/>
    <n v="899"/>
    <x v="37"/>
    <x v="4"/>
    <x v="14"/>
    <x v="14"/>
    <n v="1"/>
    <n v="1"/>
    <n v="5"/>
    <n v="390"/>
    <x v="1"/>
    <x v="1"/>
  </r>
  <r>
    <x v="71"/>
    <n v="968"/>
    <n v="1814"/>
    <x v="1"/>
    <x v="9"/>
    <x v="19"/>
    <x v="19"/>
    <n v="1"/>
    <n v="1"/>
    <n v="6"/>
    <n v="846"/>
    <x v="2"/>
    <x v="1"/>
  </r>
  <r>
    <x v="72"/>
    <n v="1570"/>
    <n v="2988"/>
    <x v="1"/>
    <x v="3"/>
    <x v="15"/>
    <x v="15"/>
    <n v="1"/>
    <n v="1"/>
    <n v="7"/>
    <n v="1418"/>
    <x v="2"/>
    <x v="1"/>
  </r>
  <r>
    <x v="73"/>
    <n v="790"/>
    <n v="1485"/>
    <x v="1"/>
    <x v="14"/>
    <x v="10"/>
    <x v="10"/>
    <n v="0"/>
    <n v="0"/>
    <n v="0"/>
    <n v="695"/>
    <x v="0"/>
    <x v="1"/>
  </r>
  <r>
    <x v="74"/>
    <n v="690"/>
    <n v="1200"/>
    <x v="37"/>
    <x v="14"/>
    <x v="10"/>
    <x v="10"/>
    <n v="0"/>
    <n v="0"/>
    <n v="0"/>
    <n v="510"/>
    <x v="0"/>
    <x v="1"/>
  </r>
  <r>
    <x v="75"/>
    <n v="1732"/>
    <n v="1799"/>
    <x v="38"/>
    <x v="14"/>
    <x v="10"/>
    <x v="10"/>
    <n v="0"/>
    <n v="0"/>
    <n v="0"/>
    <n v="67"/>
    <x v="0"/>
    <x v="2"/>
  </r>
  <r>
    <x v="76"/>
    <n v="230"/>
    <n v="450"/>
    <x v="15"/>
    <x v="14"/>
    <x v="10"/>
    <x v="10"/>
    <n v="0"/>
    <n v="0"/>
    <n v="0"/>
    <n v="220"/>
    <x v="0"/>
    <x v="1"/>
  </r>
  <r>
    <x v="77"/>
    <n v="1189"/>
    <n v="2199"/>
    <x v="14"/>
    <x v="18"/>
    <x v="14"/>
    <x v="14"/>
    <n v="1"/>
    <n v="1"/>
    <n v="1"/>
    <n v="1010"/>
    <x v="1"/>
    <x v="1"/>
  </r>
  <r>
    <x v="78"/>
    <n v="979"/>
    <n v="1920"/>
    <x v="15"/>
    <x v="18"/>
    <x v="8"/>
    <x v="8"/>
    <n v="1"/>
    <n v="1"/>
    <n v="1"/>
    <n v="941"/>
    <x v="0"/>
    <x v="1"/>
  </r>
  <r>
    <x v="79"/>
    <n v="1460"/>
    <n v="2290"/>
    <x v="39"/>
    <x v="14"/>
    <x v="10"/>
    <x v="10"/>
    <n v="0"/>
    <n v="0"/>
    <n v="0"/>
    <n v="830"/>
    <x v="0"/>
    <x v="0"/>
  </r>
  <r>
    <x v="80"/>
    <n v="1666"/>
    <n v="1699"/>
    <x v="30"/>
    <x v="14"/>
    <x v="10"/>
    <x v="10"/>
    <n v="0"/>
    <n v="0"/>
    <n v="0"/>
    <n v="33"/>
    <x v="0"/>
    <x v="2"/>
  </r>
  <r>
    <x v="81"/>
    <n v="330"/>
    <n v="647"/>
    <x v="15"/>
    <x v="18"/>
    <x v="5"/>
    <x v="5"/>
    <n v="1"/>
    <n v="1"/>
    <n v="1"/>
    <n v="317"/>
    <x v="1"/>
    <x v="1"/>
  </r>
  <r>
    <x v="82"/>
    <n v="1466"/>
    <n v="1699"/>
    <x v="40"/>
    <x v="14"/>
    <x v="10"/>
    <x v="10"/>
    <n v="0"/>
    <n v="0"/>
    <n v="0"/>
    <n v="233"/>
    <x v="0"/>
    <x v="2"/>
  </r>
  <r>
    <x v="83"/>
    <n v="274"/>
    <n v="537"/>
    <x v="15"/>
    <x v="14"/>
    <x v="10"/>
    <x v="10"/>
    <n v="0"/>
    <n v="0"/>
    <n v="0"/>
    <n v="263"/>
    <x v="0"/>
    <x v="1"/>
  </r>
  <r>
    <x v="84"/>
    <n v="799"/>
    <n v="900"/>
    <x v="41"/>
    <x v="14"/>
    <x v="10"/>
    <x v="10"/>
    <n v="0"/>
    <n v="0"/>
    <n v="0"/>
    <n v="101"/>
    <x v="0"/>
    <x v="2"/>
  </r>
  <r>
    <x v="85"/>
    <n v="1468"/>
    <n v="1699"/>
    <x v="40"/>
    <x v="14"/>
    <x v="10"/>
    <x v="10"/>
    <n v="0"/>
    <n v="0"/>
    <n v="0"/>
    <n v="231"/>
    <x v="0"/>
    <x v="2"/>
  </r>
  <r>
    <x v="86"/>
    <n v="630"/>
    <n v="1100"/>
    <x v="37"/>
    <x v="14"/>
    <x v="10"/>
    <x v="10"/>
    <n v="0"/>
    <n v="0"/>
    <n v="0"/>
    <n v="470"/>
    <x v="0"/>
    <x v="1"/>
  </r>
  <r>
    <x v="87"/>
    <n v="850"/>
    <n v="1700"/>
    <x v="29"/>
    <x v="14"/>
    <x v="10"/>
    <x v="10"/>
    <n v="0"/>
    <n v="0"/>
    <n v="0"/>
    <n v="850"/>
    <x v="0"/>
    <x v="1"/>
  </r>
  <r>
    <x v="88"/>
    <n v="1300"/>
    <n v="2500"/>
    <x v="25"/>
    <x v="14"/>
    <x v="10"/>
    <x v="10"/>
    <n v="0"/>
    <n v="0"/>
    <n v="0"/>
    <n v="1200"/>
    <x v="0"/>
    <x v="1"/>
  </r>
  <r>
    <x v="89"/>
    <n v="105"/>
    <n v="200"/>
    <x v="25"/>
    <x v="14"/>
    <x v="10"/>
    <x v="10"/>
    <n v="0"/>
    <n v="0"/>
    <n v="0"/>
    <n v="95"/>
    <x v="0"/>
    <x v="1"/>
  </r>
  <r>
    <x v="90"/>
    <n v="899"/>
    <n v="1699"/>
    <x v="1"/>
    <x v="14"/>
    <x v="10"/>
    <x v="10"/>
    <n v="0"/>
    <n v="0"/>
    <n v="0"/>
    <n v="800"/>
    <x v="0"/>
    <x v="1"/>
  </r>
  <r>
    <x v="91"/>
    <n v="1200"/>
    <n v="2400"/>
    <x v="29"/>
    <x v="14"/>
    <x v="10"/>
    <x v="10"/>
    <n v="0"/>
    <n v="0"/>
    <n v="0"/>
    <n v="1200"/>
    <x v="0"/>
    <x v="1"/>
  </r>
  <r>
    <x v="92"/>
    <n v="1526"/>
    <n v="1660"/>
    <x v="42"/>
    <x v="14"/>
    <x v="10"/>
    <x v="10"/>
    <n v="0"/>
    <n v="0"/>
    <n v="0"/>
    <n v="134"/>
    <x v="0"/>
    <x v="2"/>
  </r>
  <r>
    <x v="93"/>
    <n v="1462"/>
    <n v="1499"/>
    <x v="30"/>
    <x v="14"/>
    <x v="10"/>
    <x v="10"/>
    <n v="0"/>
    <n v="0"/>
    <n v="0"/>
    <n v="37"/>
    <x v="0"/>
    <x v="2"/>
  </r>
  <r>
    <x v="94"/>
    <n v="248"/>
    <n v="486"/>
    <x v="15"/>
    <x v="14"/>
    <x v="10"/>
    <x v="10"/>
    <n v="0"/>
    <n v="0"/>
    <n v="0"/>
    <n v="238"/>
    <x v="0"/>
    <x v="1"/>
  </r>
  <r>
    <x v="95"/>
    <n v="3546"/>
    <n v="3699"/>
    <x v="38"/>
    <x v="14"/>
    <x v="10"/>
    <x v="10"/>
    <n v="0"/>
    <n v="0"/>
    <n v="0"/>
    <n v="153"/>
    <x v="0"/>
    <x v="2"/>
  </r>
  <r>
    <x v="96"/>
    <n v="525"/>
    <n v="1029"/>
    <x v="15"/>
    <x v="14"/>
    <x v="10"/>
    <x v="10"/>
    <n v="0"/>
    <n v="0"/>
    <n v="0"/>
    <n v="504"/>
    <x v="0"/>
    <x v="1"/>
  </r>
  <r>
    <x v="97"/>
    <n v="1080"/>
    <n v="1874"/>
    <x v="11"/>
    <x v="14"/>
    <x v="10"/>
    <x v="10"/>
    <n v="0"/>
    <n v="0"/>
    <n v="0"/>
    <n v="794"/>
    <x v="0"/>
    <x v="1"/>
  </r>
  <r>
    <x v="98"/>
    <n v="3640"/>
    <n v="4588"/>
    <x v="43"/>
    <x v="18"/>
    <x v="8"/>
    <x v="8"/>
    <n v="1"/>
    <n v="1"/>
    <n v="1"/>
    <n v="948"/>
    <x v="0"/>
    <x v="0"/>
  </r>
  <r>
    <x v="99"/>
    <n v="1420"/>
    <n v="2420"/>
    <x v="28"/>
    <x v="14"/>
    <x v="10"/>
    <x v="10"/>
    <n v="0"/>
    <n v="0"/>
    <n v="0"/>
    <n v="1000"/>
    <x v="0"/>
    <x v="1"/>
  </r>
  <r>
    <x v="100"/>
    <n v="1875"/>
    <n v="1899"/>
    <x v="44"/>
    <x v="14"/>
    <x v="10"/>
    <x v="10"/>
    <n v="0"/>
    <n v="0"/>
    <n v="0"/>
    <n v="24"/>
    <x v="0"/>
    <x v="2"/>
  </r>
  <r>
    <x v="101"/>
    <n v="198"/>
    <n v="260"/>
    <x v="6"/>
    <x v="14"/>
    <x v="10"/>
    <x v="10"/>
    <n v="0"/>
    <n v="0"/>
    <n v="0"/>
    <n v="62"/>
    <x v="0"/>
    <x v="0"/>
  </r>
  <r>
    <x v="102"/>
    <n v="1150"/>
    <n v="1737"/>
    <x v="10"/>
    <x v="14"/>
    <x v="10"/>
    <x v="10"/>
    <n v="0"/>
    <n v="0"/>
    <n v="0"/>
    <n v="587"/>
    <x v="0"/>
    <x v="0"/>
  </r>
  <r>
    <x v="103"/>
    <n v="1190"/>
    <n v="1810"/>
    <x v="10"/>
    <x v="14"/>
    <x v="10"/>
    <x v="10"/>
    <n v="0"/>
    <n v="0"/>
    <n v="0"/>
    <n v="620"/>
    <x v="0"/>
    <x v="0"/>
  </r>
  <r>
    <x v="104"/>
    <n v="1658"/>
    <n v="1699"/>
    <x v="30"/>
    <x v="14"/>
    <x v="10"/>
    <x v="10"/>
    <n v="0"/>
    <n v="0"/>
    <n v="0"/>
    <n v="41"/>
    <x v="0"/>
    <x v="2"/>
  </r>
  <r>
    <x v="105"/>
    <n v="1768"/>
    <n v="1799"/>
    <x v="30"/>
    <x v="14"/>
    <x v="10"/>
    <x v="10"/>
    <n v="0"/>
    <n v="0"/>
    <n v="0"/>
    <n v="31"/>
    <x v="0"/>
    <x v="2"/>
  </r>
  <r>
    <x v="106"/>
    <n v="199"/>
    <n v="553"/>
    <x v="45"/>
    <x v="14"/>
    <x v="10"/>
    <x v="10"/>
    <n v="0"/>
    <n v="0"/>
    <n v="0"/>
    <n v="354"/>
    <x v="0"/>
    <x v="1"/>
  </r>
  <r>
    <x v="107"/>
    <n v="450"/>
    <n v="900"/>
    <x v="29"/>
    <x v="18"/>
    <x v="22"/>
    <x v="22"/>
    <n v="1"/>
    <n v="1"/>
    <n v="1"/>
    <n v="450"/>
    <x v="2"/>
    <x v="1"/>
  </r>
  <r>
    <x v="108"/>
    <n v="169"/>
    <n v="320"/>
    <x v="1"/>
    <x v="14"/>
    <x v="10"/>
    <x v="10"/>
    <n v="0"/>
    <n v="0"/>
    <n v="0"/>
    <n v="151"/>
    <x v="0"/>
    <x v="1"/>
  </r>
  <r>
    <x v="109"/>
    <n v="1208.2568807339449"/>
    <n v="1837.7522935779816"/>
    <x v="46"/>
    <x v="14"/>
    <x v="10"/>
    <x v="22"/>
    <m/>
    <m/>
    <m/>
    <m/>
    <x v="3"/>
    <x v="3"/>
  </r>
  <r>
    <x v="110"/>
    <n v="3750"/>
    <n v="6143"/>
    <x v="47"/>
    <x v="14"/>
    <x v="10"/>
    <x v="23"/>
    <m/>
    <m/>
    <m/>
    <m/>
    <x v="3"/>
    <x v="3"/>
  </r>
  <r>
    <x v="111"/>
    <n v="38"/>
    <n v="80"/>
    <x v="47"/>
    <x v="14"/>
    <x v="10"/>
    <x v="23"/>
    <m/>
    <m/>
    <m/>
    <m/>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115  Piece Set Of Multifunctional Precision Screwdrivers"/>
    <s v="KSh 950"/>
    <s v="KSh 1,525"/>
    <n v="0.38"/>
    <n v="-2"/>
    <s v="4.5 out of 5"/>
  </r>
  <r>
    <s v="Metal Decorative Hooks Key Hangers Entryway Wall Hooks Towel Hooks - Home"/>
    <s v="KSh 527"/>
    <s v="KSh 999"/>
    <n v="0.47"/>
    <n v="-14"/>
    <s v="4.1 out of 5"/>
  </r>
  <r>
    <s v="Portable Mini Cordless Car Vacuum Cleaner - Blue"/>
    <s v="KSh 2,199"/>
    <s v="KSh 2,923"/>
    <n v="0.25"/>
    <n v="-24"/>
    <s v="4.6 out of 5"/>
  </r>
  <r>
    <s v="Weighing Scale Digital Bathroom Body Fat Scale USB-Black"/>
    <s v="KSh 1,580"/>
    <s v="KSh 2,499"/>
    <n v="0.37"/>
    <n v="-7"/>
    <s v="4.7 out of 5"/>
  </r>
  <r>
    <s v="Portable Home Small Air Humidifier 3-Speed Fan - Green"/>
    <s v="KSh 1,740"/>
    <s v="KSh 2,356"/>
    <n v="0.26"/>
    <n v="-5"/>
    <s v="4.8 out of 5"/>
  </r>
  <r>
    <s v="220V 60W Electric Soldering Iron Kits With Tools, Tips, And Multimeter"/>
    <s v="KSh 2,999"/>
    <s v="KSh 3,290"/>
    <n v="0.09"/>
    <n v="-15"/>
    <s v="4 out of 5"/>
  </r>
  <r>
    <s v="137 Pieces Cake Decorating Tool Set Baking Supplies"/>
    <s v="KSh 2,319"/>
    <s v="KSh 3,032"/>
    <n v="0.24"/>
    <n v="-55"/>
    <s v="4.6 out of 5"/>
  </r>
  <r>
    <s v="Desk Foldable Fan Adjustable Fan Strong Wind 3 Gear Usb"/>
    <s v="KSh 988"/>
    <s v="KSh 1,580"/>
    <n v="0.37"/>
    <n v="-2"/>
    <s v="4 out of 5"/>
  </r>
  <r>
    <s v="LASA FOLDING TABLE SERVING STAND"/>
    <s v="KSh 1,274"/>
    <s v="KSh 2,800"/>
    <n v="0.55000000000000004"/>
    <n v="-5"/>
    <s v="4.8 out of 5"/>
  </r>
  <r>
    <s v="13 In 1 Home Repair Tools Box Kit Set"/>
    <s v="KSh 1,600"/>
    <s v="KSh 2,929"/>
    <n v="0.45"/>
    <n v="-5"/>
    <s v="3.8 out of 5"/>
  </r>
  <r>
    <s v="Genebre 115 In 1 Screwdriver Repairing Tool Set For IPhone Cellphone Hand Tool"/>
    <s v="KSh 799"/>
    <s v="KSh 999"/>
    <n v="0.2"/>
    <n v="-12"/>
    <s v="4.1 out of 5"/>
  </r>
  <r>
    <s v="100 Pcs Crochet Hook Tool Set Knitting Hook Set With Box"/>
    <s v="KSh 990"/>
    <s v="KSh 1,500"/>
    <n v="0.34"/>
    <n v="-39"/>
    <s v="4.7 out of 5"/>
  </r>
  <r>
    <s v="40cm Gold DIY Acrylic Wall Sticker Clock"/>
    <s v="KSh 552"/>
    <s v="KSh 1,035"/>
    <n v="0.47"/>
    <n v="-12"/>
    <s v="4.8 out of 5"/>
  </r>
  <r>
    <s v="LASA Digital Thermometer And Hydrometer"/>
    <s v="KSh 501"/>
    <s v="KSh 860"/>
    <n v="0.42"/>
    <n v="-6"/>
    <s v="4.5 out of 5"/>
  </r>
  <r>
    <s v="Multifunction Laser Level With Adjustment Tripod"/>
    <s v="KSh 1,680"/>
    <s v="KSh 2,499"/>
    <n v="0.33"/>
    <n v="-9"/>
    <s v="4.2 out of 5"/>
  </r>
  <r>
    <s v="Anti-Skid Absorbent Insulation Coaster  For Home Office"/>
    <s v="KSh 332"/>
    <s v="KSh 684"/>
    <n v="0.51"/>
    <n v="-2"/>
    <s v="5 out of 5"/>
  </r>
  <r>
    <s v="Peacock  Throw Pillow Cushion Case For Home Car"/>
    <s v="KSh 195"/>
    <s v="KSh 360"/>
    <n v="0.46"/>
    <n v="-2"/>
    <s v="5 out of 5"/>
  </r>
  <r>
    <s v="LASA Aluminum Folding Truck Hand Cart - 68kg Max"/>
    <s v="KSh 2,025"/>
    <s v="KSh 3,971"/>
    <n v="0.49"/>
    <n v="-3"/>
    <s v="5 out of 5"/>
  </r>
  <r>
    <s v="LED Wall Digital Alarm Clock Study Home 12 / 24H Clock Calendar"/>
    <s v="KSh 2,999"/>
    <s v="KSh 3,699"/>
    <n v="0.19"/>
    <n v="-5"/>
    <s v="4.6 out of 5"/>
  </r>
  <r>
    <s v="3D Waterproof EVA Plastic Shower Curtain 1.8*2Mtrs"/>
    <s v="KSh 998"/>
    <s v="KSh 1,966"/>
    <n v="0.49"/>
    <n v="-44"/>
    <s v="4.6 out of 5"/>
  </r>
  <r>
    <s v="3PCS Single Head Knitting Crochet Sweater Needle Set"/>
    <s v="KSh 38"/>
    <s v="KSh 80"/>
    <n v="0.53"/>
    <n v="-13"/>
    <s v="3.3 out of 5"/>
  </r>
  <r>
    <s v="4pcs Bathroom/Kitchen Towel Rack,Roll Paper Holder,Towel Bars,Hook"/>
    <s v="KSh 1,860"/>
    <s v="KSh 3,220"/>
    <n v="0.42"/>
    <m/>
    <m/>
  </r>
  <r>
    <s v="LED Romantic Spaceship Starry Sky Projector,Children's Bedroom Night Light-Blue"/>
    <s v="KSh 880"/>
    <s v="KSh 1,350"/>
    <n v="0.35"/>
    <n v="-6"/>
    <s v="4 out of 5"/>
  </r>
  <r>
    <s v="Foldable Overbed Table/Desk"/>
    <s v="KSh 1,650"/>
    <s v="KSh 2,150"/>
    <n v="0.23"/>
    <n v="-14"/>
    <s v="4.4 out of 5"/>
  </r>
  <r>
    <s v="LASA 3 Tier Bamboo Shoe Bench Storage Shelf"/>
    <s v="KSh 2,048"/>
    <s v="KSh 4,500"/>
    <n v="0.54"/>
    <n v="-7"/>
    <s v="4.3 out of 5"/>
  </r>
  <r>
    <s v="Electronic Digital Display Vernier Caliper"/>
    <s v="KSh 420"/>
    <s v="KSh 647"/>
    <n v="0.35"/>
    <n v="-49"/>
    <s v="4.6 out of 5"/>
  </r>
  <r>
    <s v="Portable Wardrobe Nonwoven With 3 Hanging Rods And 6 Storage Shelves"/>
    <s v="KSh 2,880"/>
    <s v="KSh 3,520"/>
    <n v="0.18"/>
    <n v="-12"/>
    <s v="3.8 out of 5"/>
  </r>
  <r>
    <s v="12 Litre Black Insulated Lunch Box"/>
    <s v="KSh 1,350"/>
    <s v="KSh 1,990"/>
    <n v="0.32"/>
    <n v="-13"/>
    <s v="3.8 out of 5"/>
  </r>
  <r>
    <s v="52 Pieces Cake Decorating Tool Set Gift Kit Baking Supplies"/>
    <s v="KSh 1,758"/>
    <s v="KSh 2,499"/>
    <n v="0.3"/>
    <n v="-20"/>
    <s v="4.1 out of 5"/>
  </r>
  <r>
    <s v="MultiFunctional Storage Rack Multi-layer Bookshelf"/>
    <s v="KSh 2,200"/>
    <s v="KSh 4,080"/>
    <n v="0.46"/>
    <m/>
    <m/>
  </r>
  <r>
    <s v="Exfoliate And Exfoliate Face Towel - Black"/>
    <s v="KSh 185"/>
    <s v="KSh 382"/>
    <n v="0.52"/>
    <n v="-9"/>
    <s v="4.3 out of 5"/>
  </r>
  <r>
    <s v="12 Litre Insulated Lunch Box Grey"/>
    <s v="KSh 980"/>
    <s v="KSh 1,490"/>
    <n v="0.34"/>
    <n v="-12"/>
    <s v="4.7 out of 5"/>
  </r>
  <r>
    <s v="LED Eye Protection  Desk Lamp , Study, Reading, USB Fan - Double Pen Holder"/>
    <s v="KSh 1,820"/>
    <s v="KSh 3,490"/>
    <n v="0.48"/>
    <n v="-9"/>
    <s v="4.3 out of 5"/>
  </r>
  <r>
    <s v="53Pcs/Set Yarn Knitting Crochet Hooks With Bag - Fortune Cat"/>
    <s v="KSh 1,940"/>
    <s v="KSh 2,650"/>
    <n v="0.27"/>
    <n v="-20"/>
    <s v="4.7 out of 5"/>
  </r>
  <r>
    <s v="53 Pieces/Set Yarn Knitting Crochet Hooks With Bag - Pansies"/>
    <s v="KSh 1,980"/>
    <s v="KSh 2,699"/>
    <n v="0.27"/>
    <n v="-32"/>
    <s v="4.5 out of 5"/>
  </r>
  <r>
    <s v="DIY File Folder, Office Drawer File Holder, Pen Holder, Desktop Storage Rack"/>
    <s v="KSh 1,620"/>
    <s v="KSh 2,690"/>
    <n v="0.4"/>
    <n v="-1"/>
    <s v="5 out of 5"/>
  </r>
  <r>
    <s v="Classic Black Cat Cotton Hemp Pillow Case For Home Car"/>
    <s v="KSh 171"/>
    <s v="KSh 360"/>
    <n v="0.53"/>
    <n v="-2"/>
    <s v="5 out of 5"/>
  </r>
  <r>
    <s v="Punch-free Great Load Bearing Bathroom Storage Rack Wall Shelf-White"/>
    <s v="KSh 389"/>
    <s v="KSh 656"/>
    <n v="0.41"/>
    <n v="-36"/>
    <s v="4.3 out of 5"/>
  </r>
  <r>
    <s v="1/2/3 Seater Elastic Sofa Cover,Living Room/Home Decor Chair Cover-Grey"/>
    <s v="KSh 1,620 - KSh 1,980"/>
    <s v="KSh 2,200 - KSh 3,200"/>
    <n v="0.38"/>
    <n v="-2"/>
    <s v="4.5 out of 5"/>
  </r>
  <r>
    <s v="LASA Stainless Steel Double Wall Mount Soap Dispenser - 500ml"/>
    <s v="KSh 2,750"/>
    <s v="KSh 4,471"/>
    <n v="0.38"/>
    <m/>
    <m/>
  </r>
  <r>
    <s v="4M Float Switch Water Level Controller -Water Tank"/>
    <s v="KSh 475"/>
    <s v="KSh 931"/>
    <n v="0.49"/>
    <m/>
    <m/>
  </r>
  <r>
    <s v="Modern Sofa Throw Pillow Cover-45x45cm-Blue&amp;Red"/>
    <s v="KSh 238"/>
    <s v="KSh 476"/>
    <n v="0.5"/>
    <m/>
    <m/>
  </r>
  <r>
    <s v="Balloon Insert, Birthday Party Balloon Set, PU Leather"/>
    <s v="KSh 610"/>
    <s v="KSh 1,060"/>
    <n v="0.42"/>
    <m/>
    <m/>
  </r>
  <r>
    <s v="Balloon Insert, Birthday Party Balloon Set, PU Leather"/>
    <s v="KSh 610"/>
    <s v="KSh 1,060"/>
    <n v="0.42"/>
    <m/>
    <m/>
  </r>
  <r>
    <s v="Shower Cap Wide Elastic Band Cover Reusable Bashroom Cap"/>
    <s v="KSh 2,132"/>
    <s v="KSh 2,169"/>
    <n v="0.02"/>
    <m/>
    <m/>
  </r>
  <r>
    <s v="Christmas Elk Fence Yard Lawn Decorations Cute For Holidays"/>
    <s v="KSh 999"/>
    <s v="KSh 2,000"/>
    <n v="0.5"/>
    <m/>
    <m/>
  </r>
  <r>
    <s v="60W Hot Melt Glue Sprayer - Efficient And Stable Glue Dispensing"/>
    <s v="KSh 1,190"/>
    <s v="KSh 1,785"/>
    <n v="0.33"/>
    <m/>
    <m/>
  </r>
  <r>
    <s v="Car Phone Charging Stand"/>
    <s v="KSh 671"/>
    <s v="KSh 1,316"/>
    <n v="0.49"/>
    <m/>
    <m/>
  </r>
  <r>
    <s v="2pcs Solar Street Light Flood Light Outdoor"/>
    <s v="KSh 1,200"/>
    <s v="KSh 1,950"/>
    <n v="0.38"/>
    <m/>
    <m/>
  </r>
  <r>
    <s v="Creative Owl Shape Keychain Black"/>
    <s v="KSh 199"/>
    <s v="KSh 504"/>
    <n v="0.61"/>
    <m/>
    <m/>
  </r>
  <r>
    <s v="Brush &amp; Paintbrush Cleaning Tool Pink"/>
    <s v="KSh 299"/>
    <s v="KSh 600"/>
    <n v="0.5"/>
    <m/>
    <m/>
  </r>
  <r>
    <s v="Pen Grips For Kids Pen Grip Posture Correction Tool For Kids"/>
    <s v="KSh 1,660"/>
    <s v="KSh 1,699"/>
    <n v="0.02"/>
    <m/>
    <m/>
  </r>
  <r>
    <s v="Pilates Cloth Bag Waterproof Durable High Capacity Purple"/>
    <s v="KSh 299"/>
    <s v="KSh 384"/>
    <n v="0.22"/>
    <m/>
    <m/>
  </r>
  <r>
    <s v="Multi-purpose Rice Drainage Basket And Fruit And Vegetable Drainage Sieve"/>
    <s v="KSh 1,459"/>
    <s v="KSh 1,499"/>
    <n v="0.03"/>
    <m/>
    <m/>
  </r>
  <r>
    <s v="Cute Christmas Fence Garden Decorations For Holiday Home"/>
    <s v="KSh 799"/>
    <s v="KSh 1,343"/>
    <n v="0.41"/>
    <m/>
    <m/>
  </r>
  <r>
    <s v="Simple Metal Dog Art Sculpture Decoration For Home Office"/>
    <s v="KSh 499"/>
    <s v="KSh 900"/>
    <n v="0.45"/>
    <m/>
    <m/>
  </r>
  <r>
    <s v="Christmas Fence Garden Decorations Outdoor For Holiday Home"/>
    <s v="KSh 699"/>
    <s v="KSh 1,343"/>
    <n v="0.48"/>
    <m/>
    <m/>
  </r>
  <r>
    <s v="Angle Measuring Tool Full Metal Multi Angle Measuring Tool"/>
    <s v="KSh 799"/>
    <s v="KSh 1,567"/>
    <n v="0.49"/>
    <m/>
    <m/>
  </r>
  <r>
    <s v="12V 19500rpm Handheld Electric Angle Grinder Tool - UK - Yellow/Black"/>
    <s v="KSh 2,799"/>
    <s v="KSh 3,810"/>
    <n v="0.27"/>
    <m/>
    <m/>
  </r>
  <r>
    <s v="Simple Metal Dog Art Sculpture Decoration For Home Office"/>
    <s v="KSh 399"/>
    <s v="KSh 896"/>
    <n v="0.55000000000000004"/>
    <m/>
    <m/>
  </r>
  <r>
    <s v="5 Pieces/set Of Stainless Steel Induction Cooker Pots"/>
    <s v="KSh 2,170"/>
    <s v="KSh 2,500"/>
    <n v="0.13"/>
    <n v="-6"/>
    <s v="2.5 out of 5"/>
  </r>
  <r>
    <s v="Mythco 120COB Solar Wall Ligt With Motion Sensor And Remote Control 3 Modes"/>
    <s v="KSh 458"/>
    <s v="KSh 986"/>
    <n v="0.54"/>
    <n v="-10"/>
    <s v="3 out of 5"/>
  </r>
  <r>
    <s v="5-PCS Stainless Steel Cooking Pot Set With Steamed Slices"/>
    <s v="KSh 2,115"/>
    <s v="KSh 4,700"/>
    <n v="0.55000000000000004"/>
    <n v="-13"/>
    <s v="2.1 out of 5"/>
  </r>
  <r>
    <s v="120W Cordless Vacuum Cleaners Handheld Electric Vacuum Cleaner"/>
    <s v="KSh 445"/>
    <s v="KSh 873"/>
    <n v="0.49"/>
    <n v="-69"/>
    <s v="2.8 out of 5"/>
  </r>
  <r>
    <s v="Intelligent  LED Body Sensor Wireless Lighting Night Light USB"/>
    <s v="KSh 325"/>
    <s v="KSh 680"/>
    <n v="0.52"/>
    <n v="-15"/>
    <s v="2.7 out of 5"/>
  </r>
  <r>
    <s v="VIC Wireless Vacuum Cleaner Dual Use For Home And Car 120W High Power Powerful"/>
    <s v="KSh 1,220"/>
    <s v="KSh 1,555"/>
    <n v="0.22"/>
    <n v="-16"/>
    <s v="2.9 out of 5"/>
  </r>
  <r>
    <s v="Artificial Potted Flowers Room Decorative Flowers (2 Pieces)"/>
    <s v="KSh 990"/>
    <s v="KSh 1,814"/>
    <n v="0.45"/>
    <n v="-6"/>
    <s v="2.2 out of 5"/>
  </r>
  <r>
    <s v="380ML USB Rechargeable Portable Small Blenders And Juicers"/>
    <s v="KSh 1,000"/>
    <s v="KSh 2,000"/>
    <n v="0.5"/>
    <n v="-7"/>
    <s v="2.3 out of 5"/>
  </r>
  <r>
    <s v="32PCS Portable Cordless Drill Set With Cyclic Battery Drive -26 Variable Speed"/>
    <s v="KSh 3,750"/>
    <s v="KSh 6,143"/>
    <n v="0.39"/>
    <n v="-5"/>
    <s v="3 out of 5"/>
  </r>
  <r>
    <s v="Agapeon Toothbrush Holder And Toothpaste Dispenser"/>
    <s v="KSh 382"/>
    <s v="KSh 700"/>
    <n v="0.45"/>
    <n v="-17"/>
    <s v="2.6 out of 5"/>
  </r>
  <r>
    <s v="Large Lazy Inflatable Sofa Chairs PVC Lounger Seat Bag"/>
    <s v="KSh 2,300"/>
    <s v="KSh 3,240"/>
    <n v="0.28999999999999998"/>
    <n v="-5"/>
    <s v="3 out of 5"/>
  </r>
  <r>
    <s v="Watercolour Gold Foil Textured Print Pillow Cover"/>
    <s v="KSh 345"/>
    <s v="KSh 602"/>
    <n v="0.43"/>
    <n v="-6"/>
    <s v="2.3 out of 5"/>
  </r>
  <r>
    <s v="Wrought Iron Bathroom Shelf Wall Mounted Free Punch Toilet Rack"/>
    <s v="KSh 509"/>
    <s v="KSh 899"/>
    <n v="0.43"/>
    <n v="-5"/>
    <s v="3 out of 5"/>
  </r>
  <r>
    <s v="7-piece Set Of Storage Bags, Travel Storage Bags, Shoe Bags"/>
    <s v="KSh 968"/>
    <s v="KSh 1,814"/>
    <n v="0.47"/>
    <n v="-6"/>
    <s v="2.2 out of 5"/>
  </r>
  <r>
    <s v="Electric LED UV Mosquito Killer Lamp, Outdoor/Indoor Fly Killer Trap Light -USB"/>
    <s v="KSh 1,570"/>
    <s v="KSh 2,988"/>
    <n v="0.47"/>
    <n v="-7"/>
    <s v="2.1 out of 5"/>
  </r>
  <r>
    <s v="2PCS/LOT Solar LED Outdoor Intelligent Light Controlled Wall Lamp"/>
    <s v="KSh 790"/>
    <s v="KSh 1,485"/>
    <n v="0.47"/>
    <m/>
    <m/>
  </r>
  <r>
    <s v="3PCS Rotary Scraper Thermomix For Kitchen"/>
    <s v="KSh 690"/>
    <s v="KSh 1,200"/>
    <n v="0.43"/>
    <m/>
    <m/>
  </r>
  <r>
    <s v="Cushion Silicone Butt Cushion Summer Ice Cushion Honeycomb Gel Cushion"/>
    <s v="KSh 1,732"/>
    <s v="KSh 1,799"/>
    <n v="0.04"/>
    <m/>
    <m/>
  </r>
  <r>
    <s v="7PCS Silicone Thumb Knife Finger Protector Vegetable Harvesting Knife"/>
    <s v="KSh 230"/>
    <s v="KSh 450"/>
    <n v="0.49"/>
    <m/>
    <m/>
  </r>
  <r>
    <s v="Memory Foam Neck Pillow Cover, With Pillow Core - 50*30cm"/>
    <s v="KSh 1,189"/>
    <s v="KSh 2,199"/>
    <n v="0.46"/>
    <n v="-1"/>
    <s v="3 out of 5"/>
  </r>
  <r>
    <s v="Bedroom Simple Floor Hanging Clothes Rack Single Pole Hat Rack - White"/>
    <s v="KSh 979"/>
    <s v="KSh 1,920"/>
    <n v="0.49"/>
    <n v="-1"/>
    <s v="5 out of 5"/>
  </r>
  <r>
    <s v="5m Waterproof Spherical LED String Lights Outdoor Ball Chain Lights Party Lighting Decoration Adjustable"/>
    <s v="KSh 1,460"/>
    <s v="KSh 2,290"/>
    <n v="0.36"/>
    <m/>
    <m/>
  </r>
  <r>
    <s v="2 Pairs Cowhide Split Leather Work Gloves.32℉ Or Above Welding Gloves"/>
    <s v="KSh 1,666"/>
    <s v="KSh 1,699"/>
    <n v="0.02"/>
    <m/>
    <m/>
  </r>
  <r>
    <s v="Household Pineapple Peeler Peeler"/>
    <s v="KSh 330"/>
    <s v="KSh 647"/>
    <n v="0.49"/>
    <n v="-1"/>
    <s v="4 out of 5"/>
  </r>
  <r>
    <s v="Balloon Insert, Birthday Party Balloon Set, PU Leather"/>
    <s v="KSh 610"/>
    <s v="KSh 1,060"/>
    <n v="0.42"/>
    <m/>
    <m/>
  </r>
  <r>
    <s v="Creative Owl Shape Keychain Black"/>
    <s v="KSh 176"/>
    <s v="KSh 345"/>
    <n v="0.49"/>
    <m/>
    <m/>
  </r>
  <r>
    <s v="Office Chair Lumbar Back Support Spine Posture Correction Pillow Car Cushion"/>
    <s v="KSh 1,466"/>
    <s v="KSh 1,699"/>
    <n v="0.14000000000000001"/>
    <m/>
    <m/>
  </r>
  <r>
    <s v="Cartoon Car Decoration Cute Individuality For Car Home Desk"/>
    <s v="KSh 274"/>
    <s v="KSh 537"/>
    <n v="0.49"/>
    <m/>
    <m/>
  </r>
  <r>
    <s v="Outdoor Portable Water Bottle With Medicine Box - 600ML - Black"/>
    <s v="KSh 799"/>
    <s v="KSh 900"/>
    <n v="0.11"/>
    <m/>
    <m/>
  </r>
  <r>
    <s v="Angle Measuring Tool Full Metal Multi Angle Measuring Tool"/>
    <s v="KSh 657"/>
    <s v="KSh 1,288"/>
    <n v="0.49"/>
    <m/>
    <m/>
  </r>
  <r>
    <s v="Wall-Mounted Toothbrush Toothpaste Holder With Multiple Slots"/>
    <s v="KSh 1,468"/>
    <s v="KSh 1,699"/>
    <n v="0.14000000000000001"/>
    <m/>
    <m/>
  </r>
  <r>
    <s v="Multifunctional Hanging Storage Box Storage Bag (4 Layers)"/>
    <s v="KSh 630"/>
    <s v="KSh 1,100"/>
    <n v="0.43"/>
    <m/>
    <m/>
  </r>
  <r>
    <s v="Wall Clock With Hidden Safe Box"/>
    <s v="KSh 850"/>
    <s v="KSh 1,700"/>
    <n v="0.5"/>
    <m/>
    <m/>
  </r>
  <r>
    <s v="Portable Wine Table With Folding Round Table"/>
    <s v="KSh 1,300"/>
    <s v="KSh 2,500"/>
    <n v="0.48"/>
    <m/>
    <m/>
  </r>
  <r>
    <s v="Sewing Machine Needle Threader Stitch Insertion Tool Automatic Quick Sewing"/>
    <s v="KSh 105"/>
    <s v="KSh 200"/>
    <n v="0.48"/>
    <m/>
    <m/>
  </r>
  <r>
    <s v="6 Layers Steel Pipe Assembling Dustproof Storage Shoe Cabinet"/>
    <s v="KSh 899"/>
    <s v="KSh 1,699"/>
    <n v="0.47"/>
    <m/>
    <m/>
  </r>
  <r>
    <s v="6 Layers Steel Pipe Assembling Dustproof Storage Shoe Cabinet"/>
    <s v="KSh 899"/>
    <s v="KSh 1,699"/>
    <n v="0.47"/>
    <m/>
    <m/>
  </r>
  <r>
    <s v="2PCS Ice Silk Square Cushion Cover Pillowcases - 65x65cm"/>
    <s v="KSh 1,200"/>
    <s v="KSh 2,400"/>
    <n v="0.5"/>
    <m/>
    <m/>
  </r>
  <r>
    <s v="Wall Mount Automatic Toothpaste Dispenser Toothbrush Holder Toothpaste Squeezer"/>
    <s v="KSh 1,526"/>
    <s v="KSh 1,660"/>
    <n v="0.08"/>
    <m/>
    <m/>
  </r>
  <r>
    <s v="Portable Soap Dispenser Kitchen Detergent Press Box Kitchen Tools"/>
    <s v="KSh 1,462"/>
    <s v="KSh 1,499"/>
    <n v="0.02"/>
    <m/>
    <m/>
  </r>
  <r>
    <s v="4 Piece Coloured Stainless Steel Kitchenware Set"/>
    <s v="KSh 248"/>
    <s v="KSh 486"/>
    <n v="0.49"/>
    <m/>
    <m/>
  </r>
  <r>
    <s v="Metal Wall Clock Silver Dial Crystal Jewelry Round Home Decoration Wall Clock"/>
    <s v="KSh 3,546"/>
    <s v="KSh 3,699"/>
    <n v="0.04"/>
    <m/>
    <m/>
  </r>
  <r>
    <s v="Baby Early Education Shape And Color Cognitive Training Toys"/>
    <s v="KSh 525"/>
    <s v="KSh 1,029"/>
    <n v="0.49"/>
    <m/>
    <m/>
  </r>
  <r>
    <s v="8in1 Screwdriver With LED Light"/>
    <s v="KSh 1,080"/>
    <s v="KSh 1,874"/>
    <n v="0.42"/>
    <m/>
    <m/>
  </r>
  <r>
    <s v="Konka Healty Electric Kettle, 24-hour Heat Preservation,1.5L,800W, White"/>
    <s v="KSh 3,640"/>
    <s v="KSh 4,588"/>
    <n v="0.21"/>
    <n v="-1"/>
    <s v="5 out of 5"/>
  </r>
  <r>
    <s v="9pcs Gas Mask, For Painting, Dust, Formaldehyde Grinding, Polishing"/>
    <s v="KSh 1,420"/>
    <s v="KSh 2,420"/>
    <n v="0.41"/>
    <m/>
    <m/>
  </r>
  <r>
    <s v="24 Grid Wall-mounted Sundries Organiser Fabric Closet Bag Storage Rack"/>
    <s v="KSh 1,875"/>
    <s v="KSh 1,899"/>
    <n v="0.01"/>
    <m/>
    <m/>
  </r>
  <r>
    <s v="1PC Refrigerator Food Seal Pocket Fridge Bags"/>
    <s v="KSh 198"/>
    <s v="KSh 260"/>
    <n v="0.24"/>
    <m/>
    <m/>
  </r>
  <r>
    <s v="LED Solar Street Light-fake Camera"/>
    <s v="KSh 1,150"/>
    <s v="KSh 1,737"/>
    <n v="0.34"/>
    <m/>
    <m/>
  </r>
  <r>
    <s v="Cartoon Embroidered Mini Towel Bear Cotton Wash Cloth Hand 4pcs"/>
    <s v="KSh 1,190"/>
    <s v="KSh 1,810"/>
    <n v="0.34"/>
    <m/>
    <m/>
  </r>
  <r>
    <s v="Shower Nozzle Cleaning Unclogging Needle Mini Crevice Small Hole Cleaning Brush"/>
    <s v="KSh 1,658"/>
    <s v="KSh 1,699"/>
    <n v="0.02"/>
    <m/>
    <m/>
  </r>
  <r>
    <s v="Thickening Multipurpose Non Stick Easy To Clean Heat Resistant Spoon Pad"/>
    <s v="KSh 1,768"/>
    <s v="KSh 1,799"/>
    <n v="0.02"/>
    <m/>
    <m/>
  </r>
  <r>
    <s v="6 In 1 Bottle Can Opener Multifunctional Easy Opener"/>
    <s v="KSh 199"/>
    <s v="KSh 553"/>
    <n v="0.64"/>
    <m/>
    <m/>
  </r>
  <r>
    <s v="Wall-mounted Sticker Punch-free Plug Fixer"/>
    <s v="KSh 450"/>
    <s v="KSh 900"/>
    <n v="0.5"/>
    <n v="-1"/>
    <s v="2 out of 5"/>
  </r>
  <r>
    <s v="Black Simple Water Cup Wine Coaster Anti Slip Absorbent"/>
    <s v="KSh 169"/>
    <s v="KSh 320"/>
    <n v="0.47"/>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950"/>
    <n v="1525"/>
    <x v="0"/>
    <n v="-2"/>
    <s v="4.5 out of 5"/>
    <x v="0"/>
    <n v="1"/>
    <n v="1"/>
    <x v="0"/>
    <n v="575"/>
    <x v="0"/>
    <x v="0"/>
  </r>
  <r>
    <x v="1"/>
    <n v="527"/>
    <n v="999"/>
    <x v="0"/>
    <n v="-14"/>
    <s v="4.1 out of 5"/>
    <x v="1"/>
    <n v="1"/>
    <n v="1"/>
    <x v="1"/>
    <n v="472"/>
    <x v="1"/>
    <x v="0"/>
  </r>
  <r>
    <x v="2"/>
    <n v="2199"/>
    <n v="2923"/>
    <x v="0"/>
    <n v="-24"/>
    <s v="4.6 out of 5"/>
    <x v="2"/>
    <n v="1"/>
    <n v="1"/>
    <x v="2"/>
    <n v="724"/>
    <x v="0"/>
    <x v="0"/>
  </r>
  <r>
    <x v="3"/>
    <n v="1580"/>
    <n v="2499"/>
    <x v="0"/>
    <n v="-7"/>
    <s v="4.7 out of 5"/>
    <x v="3"/>
    <n v="1"/>
    <n v="1"/>
    <x v="3"/>
    <n v="919"/>
    <x v="0"/>
    <x v="0"/>
  </r>
  <r>
    <x v="4"/>
    <n v="1740"/>
    <n v="2356"/>
    <x v="0"/>
    <n v="-5"/>
    <s v="4.8 out of 5"/>
    <x v="4"/>
    <n v="1"/>
    <n v="1"/>
    <x v="4"/>
    <n v="616"/>
    <x v="0"/>
    <x v="0"/>
  </r>
  <r>
    <x v="5"/>
    <n v="2999"/>
    <n v="3290"/>
    <x v="0"/>
    <n v="-15"/>
    <s v="4 out of 5"/>
    <x v="5"/>
    <n v="1"/>
    <n v="1"/>
    <x v="5"/>
    <n v="291"/>
    <x v="1"/>
    <x v="0"/>
  </r>
  <r>
    <x v="6"/>
    <n v="2319"/>
    <n v="3032"/>
    <x v="0"/>
    <n v="-55"/>
    <s v="4.6 out of 5"/>
    <x v="2"/>
    <n v="1"/>
    <n v="1"/>
    <x v="6"/>
    <n v="713"/>
    <x v="0"/>
    <x v="0"/>
  </r>
  <r>
    <x v="7"/>
    <n v="988"/>
    <n v="1580"/>
    <x v="0"/>
    <n v="-2"/>
    <s v="4 out of 5"/>
    <x v="5"/>
    <n v="1"/>
    <n v="1"/>
    <x v="0"/>
    <n v="592"/>
    <x v="1"/>
    <x v="0"/>
  </r>
  <r>
    <x v="8"/>
    <n v="1274"/>
    <n v="2800"/>
    <x v="0"/>
    <n v="-5"/>
    <s v="4.8 out of 5"/>
    <x v="4"/>
    <n v="1"/>
    <n v="1"/>
    <x v="4"/>
    <n v="1526"/>
    <x v="0"/>
    <x v="0"/>
  </r>
  <r>
    <x v="9"/>
    <n v="1600"/>
    <n v="2929"/>
    <x v="0"/>
    <n v="-5"/>
    <s v="3.8 out of 5"/>
    <x v="6"/>
    <n v="1"/>
    <n v="1"/>
    <x v="4"/>
    <n v="1329"/>
    <x v="1"/>
    <x v="0"/>
  </r>
  <r>
    <x v="10"/>
    <n v="799"/>
    <n v="999"/>
    <x v="0"/>
    <n v="-12"/>
    <s v="4.1 out of 5"/>
    <x v="1"/>
    <n v="1"/>
    <n v="1"/>
    <x v="7"/>
    <n v="200"/>
    <x v="1"/>
    <x v="0"/>
  </r>
  <r>
    <x v="11"/>
    <n v="990"/>
    <n v="1500"/>
    <x v="0"/>
    <n v="-39"/>
    <s v="4.7 out of 5"/>
    <x v="3"/>
    <n v="1"/>
    <n v="1"/>
    <x v="8"/>
    <n v="510"/>
    <x v="0"/>
    <x v="0"/>
  </r>
  <r>
    <x v="12"/>
    <n v="552"/>
    <n v="1035"/>
    <x v="0"/>
    <n v="-12"/>
    <s v="4.8 out of 5"/>
    <x v="4"/>
    <n v="1"/>
    <n v="1"/>
    <x v="7"/>
    <n v="483"/>
    <x v="0"/>
    <x v="0"/>
  </r>
  <r>
    <x v="13"/>
    <n v="501"/>
    <n v="860"/>
    <x v="0"/>
    <n v="-6"/>
    <s v="4.5 out of 5"/>
    <x v="0"/>
    <n v="1"/>
    <n v="1"/>
    <x v="9"/>
    <n v="359"/>
    <x v="0"/>
    <x v="0"/>
  </r>
  <r>
    <x v="14"/>
    <n v="1680"/>
    <n v="2499"/>
    <x v="0"/>
    <n v="-9"/>
    <s v="4.2 out of 5"/>
    <x v="7"/>
    <n v="1"/>
    <n v="1"/>
    <x v="10"/>
    <n v="819"/>
    <x v="1"/>
    <x v="0"/>
  </r>
  <r>
    <x v="15"/>
    <n v="332"/>
    <n v="684"/>
    <x v="0"/>
    <n v="-2"/>
    <s v="5 out of 5"/>
    <x v="8"/>
    <n v="1"/>
    <n v="1"/>
    <x v="0"/>
    <n v="352"/>
    <x v="0"/>
    <x v="0"/>
  </r>
  <r>
    <x v="16"/>
    <n v="195"/>
    <n v="360"/>
    <x v="0"/>
    <n v="-2"/>
    <s v="5 out of 5"/>
    <x v="8"/>
    <n v="1"/>
    <n v="1"/>
    <x v="0"/>
    <n v="165"/>
    <x v="0"/>
    <x v="0"/>
  </r>
  <r>
    <x v="17"/>
    <n v="2025"/>
    <n v="3971"/>
    <x v="0"/>
    <n v="-3"/>
    <s v="5 out of 5"/>
    <x v="8"/>
    <n v="1"/>
    <n v="1"/>
    <x v="11"/>
    <n v="1946"/>
    <x v="0"/>
    <x v="0"/>
  </r>
  <r>
    <x v="18"/>
    <n v="2999"/>
    <n v="3699"/>
    <x v="0"/>
    <n v="-5"/>
    <s v="4.6 out of 5"/>
    <x v="2"/>
    <n v="1"/>
    <n v="1"/>
    <x v="4"/>
    <n v="700"/>
    <x v="0"/>
    <x v="0"/>
  </r>
  <r>
    <x v="19"/>
    <n v="998"/>
    <n v="1966"/>
    <x v="0"/>
    <n v="-44"/>
    <s v="4.6 out of 5"/>
    <x v="2"/>
    <n v="1"/>
    <n v="1"/>
    <x v="12"/>
    <n v="968"/>
    <x v="0"/>
    <x v="0"/>
  </r>
  <r>
    <x v="20"/>
    <n v="38"/>
    <n v="80"/>
    <x v="0"/>
    <n v="-13"/>
    <s v="3.3 out of 5"/>
    <x v="9"/>
    <n v="1"/>
    <n v="1"/>
    <x v="13"/>
    <n v="42"/>
    <x v="1"/>
    <x v="0"/>
  </r>
  <r>
    <x v="21"/>
    <n v="1860"/>
    <n v="3220"/>
    <x v="0"/>
    <m/>
    <m/>
    <x v="10"/>
    <n v="0"/>
    <n v="0"/>
    <x v="14"/>
    <n v="1360"/>
    <x v="0"/>
    <x v="0"/>
  </r>
  <r>
    <x v="22"/>
    <n v="880"/>
    <n v="1350"/>
    <x v="0"/>
    <n v="-6"/>
    <s v="4 out of 5"/>
    <x v="5"/>
    <n v="1"/>
    <n v="1"/>
    <x v="9"/>
    <n v="470"/>
    <x v="1"/>
    <x v="0"/>
  </r>
  <r>
    <x v="23"/>
    <n v="1650"/>
    <n v="2150"/>
    <x v="0"/>
    <n v="-14"/>
    <s v="4.4 out of 5"/>
    <x v="11"/>
    <n v="1"/>
    <n v="1"/>
    <x v="1"/>
    <n v="500"/>
    <x v="1"/>
    <x v="0"/>
  </r>
  <r>
    <x v="24"/>
    <n v="2048"/>
    <n v="4500"/>
    <x v="0"/>
    <n v="-7"/>
    <s v="4.3 out of 5"/>
    <x v="12"/>
    <n v="1"/>
    <n v="1"/>
    <x v="3"/>
    <n v="2452"/>
    <x v="1"/>
    <x v="0"/>
  </r>
  <r>
    <x v="25"/>
    <n v="420"/>
    <n v="647"/>
    <x v="0"/>
    <n v="-49"/>
    <s v="4.6 out of 5"/>
    <x v="2"/>
    <n v="1"/>
    <n v="1"/>
    <x v="15"/>
    <n v="227"/>
    <x v="0"/>
    <x v="0"/>
  </r>
  <r>
    <x v="26"/>
    <n v="2880"/>
    <n v="3520"/>
    <x v="0"/>
    <n v="-12"/>
    <s v="3.8 out of 5"/>
    <x v="6"/>
    <n v="1"/>
    <n v="1"/>
    <x v="7"/>
    <n v="640"/>
    <x v="1"/>
    <x v="0"/>
  </r>
  <r>
    <x v="27"/>
    <n v="1350"/>
    <n v="1990"/>
    <x v="0"/>
    <n v="-13"/>
    <s v="3.8 out of 5"/>
    <x v="6"/>
    <n v="1"/>
    <n v="1"/>
    <x v="13"/>
    <n v="640"/>
    <x v="1"/>
    <x v="0"/>
  </r>
  <r>
    <x v="28"/>
    <n v="1758"/>
    <n v="2499"/>
    <x v="0"/>
    <n v="-20"/>
    <s v="4.1 out of 5"/>
    <x v="1"/>
    <n v="1"/>
    <n v="1"/>
    <x v="16"/>
    <n v="741"/>
    <x v="1"/>
    <x v="0"/>
  </r>
  <r>
    <x v="29"/>
    <n v="2200"/>
    <n v="4080"/>
    <x v="0"/>
    <m/>
    <m/>
    <x v="10"/>
    <n v="0"/>
    <n v="0"/>
    <x v="14"/>
    <n v="1880"/>
    <x v="0"/>
    <x v="0"/>
  </r>
  <r>
    <x v="30"/>
    <n v="185"/>
    <n v="382"/>
    <x v="0"/>
    <n v="-9"/>
    <s v="4.3 out of 5"/>
    <x v="12"/>
    <n v="1"/>
    <n v="1"/>
    <x v="10"/>
    <n v="197"/>
    <x v="1"/>
    <x v="0"/>
  </r>
  <r>
    <x v="31"/>
    <n v="980"/>
    <n v="1490"/>
    <x v="0"/>
    <n v="-12"/>
    <s v="4.7 out of 5"/>
    <x v="3"/>
    <n v="1"/>
    <n v="1"/>
    <x v="7"/>
    <n v="510"/>
    <x v="0"/>
    <x v="0"/>
  </r>
  <r>
    <x v="32"/>
    <n v="1820"/>
    <n v="3490"/>
    <x v="0"/>
    <n v="-9"/>
    <s v="4.3 out of 5"/>
    <x v="12"/>
    <n v="1"/>
    <n v="1"/>
    <x v="10"/>
    <n v="1670"/>
    <x v="1"/>
    <x v="0"/>
  </r>
  <r>
    <x v="33"/>
    <n v="1940"/>
    <n v="2650"/>
    <x v="0"/>
    <n v="-20"/>
    <s v="4.7 out of 5"/>
    <x v="3"/>
    <n v="1"/>
    <n v="1"/>
    <x v="16"/>
    <n v="710"/>
    <x v="0"/>
    <x v="0"/>
  </r>
  <r>
    <x v="34"/>
    <n v="1980"/>
    <n v="2699"/>
    <x v="0"/>
    <n v="-32"/>
    <s v="4.5 out of 5"/>
    <x v="0"/>
    <n v="1"/>
    <n v="1"/>
    <x v="17"/>
    <n v="719"/>
    <x v="0"/>
    <x v="0"/>
  </r>
  <r>
    <x v="35"/>
    <n v="1620"/>
    <n v="2690"/>
    <x v="0"/>
    <n v="-1"/>
    <s v="5 out of 5"/>
    <x v="8"/>
    <n v="1"/>
    <n v="1"/>
    <x v="18"/>
    <n v="1070"/>
    <x v="0"/>
    <x v="0"/>
  </r>
  <r>
    <x v="36"/>
    <n v="171"/>
    <n v="360"/>
    <x v="0"/>
    <n v="-2"/>
    <s v="5 out of 5"/>
    <x v="8"/>
    <n v="1"/>
    <n v="1"/>
    <x v="0"/>
    <n v="189"/>
    <x v="0"/>
    <x v="0"/>
  </r>
  <r>
    <x v="37"/>
    <n v="389"/>
    <n v="656"/>
    <x v="0"/>
    <n v="-36"/>
    <s v="4.3 out of 5"/>
    <x v="12"/>
    <n v="1"/>
    <n v="1"/>
    <x v="19"/>
    <n v="267"/>
    <x v="1"/>
    <x v="0"/>
  </r>
  <r>
    <x v="38"/>
    <n v="1800"/>
    <n v="2700"/>
    <x v="0"/>
    <n v="-2"/>
    <s v="4.5 out of 5"/>
    <x v="0"/>
    <n v="1"/>
    <n v="1"/>
    <x v="0"/>
    <n v="900"/>
    <x v="0"/>
    <x v="0"/>
  </r>
  <r>
    <x v="39"/>
    <n v="2750"/>
    <n v="4471"/>
    <x v="0"/>
    <m/>
    <m/>
    <x v="10"/>
    <n v="0"/>
    <n v="0"/>
    <x v="14"/>
    <n v="1721"/>
    <x v="0"/>
    <x v="0"/>
  </r>
  <r>
    <x v="40"/>
    <n v="475"/>
    <n v="931"/>
    <x v="0"/>
    <m/>
    <m/>
    <x v="10"/>
    <n v="0"/>
    <n v="0"/>
    <x v="14"/>
    <n v="456"/>
    <x v="0"/>
    <x v="0"/>
  </r>
  <r>
    <x v="41"/>
    <n v="238"/>
    <n v="476"/>
    <x v="0"/>
    <m/>
    <m/>
    <x v="10"/>
    <n v="0"/>
    <n v="0"/>
    <x v="14"/>
    <n v="238"/>
    <x v="0"/>
    <x v="0"/>
  </r>
  <r>
    <x v="42"/>
    <n v="610"/>
    <n v="1060"/>
    <x v="0"/>
    <m/>
    <m/>
    <x v="10"/>
    <n v="0"/>
    <n v="0"/>
    <x v="14"/>
    <n v="450"/>
    <x v="0"/>
    <x v="0"/>
  </r>
  <r>
    <x v="43"/>
    <n v="2132"/>
    <n v="2169"/>
    <x v="0"/>
    <m/>
    <m/>
    <x v="10"/>
    <n v="0"/>
    <n v="0"/>
    <x v="14"/>
    <n v="37"/>
    <x v="0"/>
    <x v="0"/>
  </r>
  <r>
    <x v="44"/>
    <n v="999"/>
    <n v="2000"/>
    <x v="0"/>
    <m/>
    <m/>
    <x v="10"/>
    <n v="0"/>
    <n v="0"/>
    <x v="14"/>
    <n v="1001"/>
    <x v="0"/>
    <x v="0"/>
  </r>
  <r>
    <x v="45"/>
    <n v="1190"/>
    <n v="1785"/>
    <x v="0"/>
    <m/>
    <m/>
    <x v="10"/>
    <n v="0"/>
    <n v="0"/>
    <x v="14"/>
    <n v="595"/>
    <x v="0"/>
    <x v="0"/>
  </r>
  <r>
    <x v="46"/>
    <n v="671"/>
    <n v="1316"/>
    <x v="0"/>
    <m/>
    <m/>
    <x v="10"/>
    <n v="0"/>
    <n v="0"/>
    <x v="14"/>
    <n v="645"/>
    <x v="0"/>
    <x v="0"/>
  </r>
  <r>
    <x v="47"/>
    <n v="1200"/>
    <n v="1950"/>
    <x v="0"/>
    <m/>
    <m/>
    <x v="10"/>
    <n v="0"/>
    <n v="0"/>
    <x v="14"/>
    <n v="750"/>
    <x v="0"/>
    <x v="0"/>
  </r>
  <r>
    <x v="48"/>
    <n v="199"/>
    <n v="504"/>
    <x v="0"/>
    <m/>
    <m/>
    <x v="10"/>
    <n v="0"/>
    <n v="0"/>
    <x v="14"/>
    <n v="305"/>
    <x v="0"/>
    <x v="0"/>
  </r>
  <r>
    <x v="49"/>
    <n v="299"/>
    <n v="600"/>
    <x v="0"/>
    <m/>
    <m/>
    <x v="10"/>
    <n v="0"/>
    <n v="0"/>
    <x v="14"/>
    <n v="301"/>
    <x v="0"/>
    <x v="0"/>
  </r>
  <r>
    <x v="50"/>
    <n v="1660"/>
    <n v="1699"/>
    <x v="0"/>
    <m/>
    <m/>
    <x v="10"/>
    <n v="0"/>
    <n v="0"/>
    <x v="14"/>
    <n v="39"/>
    <x v="0"/>
    <x v="0"/>
  </r>
  <r>
    <x v="51"/>
    <n v="299"/>
    <n v="384"/>
    <x v="0"/>
    <m/>
    <m/>
    <x v="10"/>
    <n v="0"/>
    <n v="0"/>
    <x v="14"/>
    <n v="85"/>
    <x v="0"/>
    <x v="0"/>
  </r>
  <r>
    <x v="52"/>
    <n v="1459"/>
    <n v="1499"/>
    <x v="0"/>
    <m/>
    <m/>
    <x v="10"/>
    <n v="0"/>
    <n v="0"/>
    <x v="14"/>
    <n v="40"/>
    <x v="0"/>
    <x v="0"/>
  </r>
  <r>
    <x v="53"/>
    <n v="799"/>
    <n v="1343"/>
    <x v="0"/>
    <m/>
    <m/>
    <x v="10"/>
    <n v="0"/>
    <n v="0"/>
    <x v="14"/>
    <n v="544"/>
    <x v="0"/>
    <x v="0"/>
  </r>
  <r>
    <x v="54"/>
    <n v="499"/>
    <n v="900"/>
    <x v="0"/>
    <m/>
    <m/>
    <x v="10"/>
    <n v="0"/>
    <n v="0"/>
    <x v="14"/>
    <n v="401"/>
    <x v="0"/>
    <x v="0"/>
  </r>
  <r>
    <x v="55"/>
    <n v="699"/>
    <n v="1343"/>
    <x v="0"/>
    <m/>
    <m/>
    <x v="10"/>
    <n v="0"/>
    <n v="0"/>
    <x v="14"/>
    <n v="644"/>
    <x v="0"/>
    <x v="0"/>
  </r>
  <r>
    <x v="56"/>
    <n v="799"/>
    <n v="1567"/>
    <x v="0"/>
    <m/>
    <m/>
    <x v="10"/>
    <n v="0"/>
    <n v="0"/>
    <x v="14"/>
    <n v="768"/>
    <x v="0"/>
    <x v="0"/>
  </r>
  <r>
    <x v="57"/>
    <n v="2799"/>
    <n v="3810"/>
    <x v="0"/>
    <m/>
    <m/>
    <x v="10"/>
    <n v="0"/>
    <n v="0"/>
    <x v="14"/>
    <n v="1011"/>
    <x v="0"/>
    <x v="0"/>
  </r>
  <r>
    <x v="58"/>
    <n v="2170"/>
    <n v="2500"/>
    <x v="0"/>
    <n v="-6"/>
    <s v="2.5 out of 5"/>
    <x v="13"/>
    <n v="1"/>
    <n v="1"/>
    <x v="9"/>
    <n v="330"/>
    <x v="2"/>
    <x v="0"/>
  </r>
  <r>
    <x v="59"/>
    <n v="458"/>
    <n v="986"/>
    <x v="0"/>
    <n v="-10"/>
    <s v="3 out of 5"/>
    <x v="14"/>
    <n v="1"/>
    <n v="1"/>
    <x v="20"/>
    <n v="528"/>
    <x v="1"/>
    <x v="0"/>
  </r>
  <r>
    <x v="60"/>
    <n v="2115"/>
    <n v="4700"/>
    <x v="0"/>
    <n v="-13"/>
    <s v="2.1 out of 5"/>
    <x v="15"/>
    <n v="1"/>
    <n v="1"/>
    <x v="13"/>
    <n v="2585"/>
    <x v="2"/>
    <x v="0"/>
  </r>
  <r>
    <x v="61"/>
    <n v="445"/>
    <n v="873"/>
    <x v="0"/>
    <n v="-69"/>
    <s v="2.8 out of 5"/>
    <x v="16"/>
    <n v="1"/>
    <n v="1"/>
    <x v="21"/>
    <n v="428"/>
    <x v="2"/>
    <x v="0"/>
  </r>
  <r>
    <x v="62"/>
    <n v="325"/>
    <n v="680"/>
    <x v="0"/>
    <n v="-15"/>
    <s v="2.7 out of 5"/>
    <x v="17"/>
    <n v="1"/>
    <n v="1"/>
    <x v="5"/>
    <n v="355"/>
    <x v="2"/>
    <x v="0"/>
  </r>
  <r>
    <x v="63"/>
    <n v="1220"/>
    <n v="1555"/>
    <x v="0"/>
    <n v="-16"/>
    <s v="2.9 out of 5"/>
    <x v="18"/>
    <n v="1"/>
    <n v="1"/>
    <x v="22"/>
    <n v="335"/>
    <x v="2"/>
    <x v="0"/>
  </r>
  <r>
    <x v="64"/>
    <n v="990"/>
    <n v="1814"/>
    <x v="0"/>
    <n v="-6"/>
    <s v="2.2 out of 5"/>
    <x v="19"/>
    <n v="1"/>
    <n v="1"/>
    <x v="9"/>
    <n v="824"/>
    <x v="2"/>
    <x v="0"/>
  </r>
  <r>
    <x v="65"/>
    <n v="1000"/>
    <n v="2000"/>
    <x v="0"/>
    <n v="-7"/>
    <s v="2.3 out of 5"/>
    <x v="20"/>
    <n v="1"/>
    <n v="1"/>
    <x v="3"/>
    <n v="1000"/>
    <x v="2"/>
    <x v="0"/>
  </r>
  <r>
    <x v="66"/>
    <n v="3750"/>
    <n v="6143"/>
    <x v="0"/>
    <n v="-5"/>
    <s v="3 out of 5"/>
    <x v="14"/>
    <n v="1"/>
    <n v="1"/>
    <x v="4"/>
    <n v="2393"/>
    <x v="1"/>
    <x v="0"/>
  </r>
  <r>
    <x v="67"/>
    <n v="382"/>
    <n v="700"/>
    <x v="0"/>
    <n v="-17"/>
    <s v="2.6 out of 5"/>
    <x v="21"/>
    <n v="1"/>
    <n v="1"/>
    <x v="23"/>
    <n v="318"/>
    <x v="2"/>
    <x v="0"/>
  </r>
  <r>
    <x v="68"/>
    <n v="2300"/>
    <n v="3240"/>
    <x v="0"/>
    <n v="-5"/>
    <s v="3 out of 5"/>
    <x v="14"/>
    <n v="1"/>
    <n v="1"/>
    <x v="4"/>
    <n v="940"/>
    <x v="1"/>
    <x v="0"/>
  </r>
  <r>
    <x v="69"/>
    <n v="345"/>
    <n v="602"/>
    <x v="0"/>
    <n v="-6"/>
    <s v="2.3 out of 5"/>
    <x v="20"/>
    <n v="1"/>
    <n v="1"/>
    <x v="9"/>
    <n v="257"/>
    <x v="2"/>
    <x v="0"/>
  </r>
  <r>
    <x v="70"/>
    <n v="509"/>
    <n v="899"/>
    <x v="0"/>
    <n v="-5"/>
    <s v="3 out of 5"/>
    <x v="14"/>
    <n v="1"/>
    <n v="1"/>
    <x v="4"/>
    <n v="390"/>
    <x v="1"/>
    <x v="0"/>
  </r>
  <r>
    <x v="71"/>
    <n v="968"/>
    <n v="1814"/>
    <x v="0"/>
    <n v="-6"/>
    <s v="2.2 out of 5"/>
    <x v="19"/>
    <n v="1"/>
    <n v="1"/>
    <x v="9"/>
    <n v="846"/>
    <x v="2"/>
    <x v="0"/>
  </r>
  <r>
    <x v="72"/>
    <n v="1570"/>
    <n v="2988"/>
    <x v="0"/>
    <n v="-7"/>
    <s v="2.1 out of 5"/>
    <x v="15"/>
    <n v="1"/>
    <n v="1"/>
    <x v="3"/>
    <n v="1418"/>
    <x v="2"/>
    <x v="0"/>
  </r>
  <r>
    <x v="73"/>
    <n v="790"/>
    <n v="1485"/>
    <x v="0"/>
    <m/>
    <m/>
    <x v="10"/>
    <n v="0"/>
    <n v="0"/>
    <x v="14"/>
    <n v="695"/>
    <x v="0"/>
    <x v="0"/>
  </r>
  <r>
    <x v="74"/>
    <n v="690"/>
    <n v="1200"/>
    <x v="0"/>
    <m/>
    <m/>
    <x v="10"/>
    <n v="0"/>
    <n v="0"/>
    <x v="14"/>
    <n v="510"/>
    <x v="0"/>
    <x v="0"/>
  </r>
  <r>
    <x v="75"/>
    <n v="1732"/>
    <n v="1799"/>
    <x v="0"/>
    <m/>
    <m/>
    <x v="10"/>
    <n v="0"/>
    <n v="0"/>
    <x v="14"/>
    <n v="67"/>
    <x v="0"/>
    <x v="0"/>
  </r>
  <r>
    <x v="76"/>
    <n v="230"/>
    <n v="450"/>
    <x v="0"/>
    <m/>
    <m/>
    <x v="10"/>
    <n v="0"/>
    <n v="0"/>
    <x v="14"/>
    <n v="220"/>
    <x v="0"/>
    <x v="0"/>
  </r>
  <r>
    <x v="77"/>
    <n v="1189"/>
    <n v="2199"/>
    <x v="0"/>
    <n v="-1"/>
    <s v="3 out of 5"/>
    <x v="14"/>
    <n v="1"/>
    <n v="1"/>
    <x v="18"/>
    <n v="1010"/>
    <x v="1"/>
    <x v="0"/>
  </r>
  <r>
    <x v="78"/>
    <n v="979"/>
    <n v="1920"/>
    <x v="0"/>
    <n v="-1"/>
    <s v="5 out of 5"/>
    <x v="8"/>
    <n v="1"/>
    <n v="1"/>
    <x v="18"/>
    <n v="941"/>
    <x v="0"/>
    <x v="0"/>
  </r>
  <r>
    <x v="79"/>
    <n v="1460"/>
    <n v="2290"/>
    <x v="0"/>
    <m/>
    <m/>
    <x v="10"/>
    <n v="0"/>
    <n v="0"/>
    <x v="14"/>
    <n v="830"/>
    <x v="0"/>
    <x v="0"/>
  </r>
  <r>
    <x v="80"/>
    <n v="1666"/>
    <n v="1699"/>
    <x v="0"/>
    <m/>
    <m/>
    <x v="10"/>
    <n v="0"/>
    <n v="0"/>
    <x v="14"/>
    <n v="33"/>
    <x v="0"/>
    <x v="0"/>
  </r>
  <r>
    <x v="81"/>
    <n v="330"/>
    <n v="647"/>
    <x v="0"/>
    <n v="-1"/>
    <s v="4 out of 5"/>
    <x v="5"/>
    <n v="1"/>
    <n v="1"/>
    <x v="18"/>
    <n v="317"/>
    <x v="1"/>
    <x v="0"/>
  </r>
  <r>
    <x v="82"/>
    <n v="1466"/>
    <n v="1699"/>
    <x v="0"/>
    <m/>
    <m/>
    <x v="10"/>
    <n v="0"/>
    <n v="0"/>
    <x v="14"/>
    <n v="233"/>
    <x v="0"/>
    <x v="0"/>
  </r>
  <r>
    <x v="83"/>
    <n v="274"/>
    <n v="537"/>
    <x v="0"/>
    <m/>
    <m/>
    <x v="10"/>
    <n v="0"/>
    <n v="0"/>
    <x v="14"/>
    <n v="263"/>
    <x v="0"/>
    <x v="0"/>
  </r>
  <r>
    <x v="84"/>
    <n v="799"/>
    <n v="900"/>
    <x v="0"/>
    <m/>
    <m/>
    <x v="10"/>
    <n v="0"/>
    <n v="0"/>
    <x v="14"/>
    <n v="101"/>
    <x v="0"/>
    <x v="0"/>
  </r>
  <r>
    <x v="85"/>
    <n v="1468"/>
    <n v="1699"/>
    <x v="0"/>
    <m/>
    <m/>
    <x v="10"/>
    <n v="0"/>
    <n v="0"/>
    <x v="14"/>
    <n v="231"/>
    <x v="0"/>
    <x v="0"/>
  </r>
  <r>
    <x v="86"/>
    <n v="630"/>
    <n v="1100"/>
    <x v="0"/>
    <m/>
    <m/>
    <x v="10"/>
    <n v="0"/>
    <n v="0"/>
    <x v="14"/>
    <n v="470"/>
    <x v="0"/>
    <x v="0"/>
  </r>
  <r>
    <x v="87"/>
    <n v="850"/>
    <n v="1700"/>
    <x v="0"/>
    <m/>
    <m/>
    <x v="10"/>
    <n v="0"/>
    <n v="0"/>
    <x v="14"/>
    <n v="850"/>
    <x v="0"/>
    <x v="0"/>
  </r>
  <r>
    <x v="88"/>
    <n v="1300"/>
    <n v="2500"/>
    <x v="0"/>
    <m/>
    <m/>
    <x v="10"/>
    <n v="0"/>
    <n v="0"/>
    <x v="14"/>
    <n v="1200"/>
    <x v="0"/>
    <x v="0"/>
  </r>
  <r>
    <x v="89"/>
    <n v="105"/>
    <n v="200"/>
    <x v="0"/>
    <m/>
    <m/>
    <x v="10"/>
    <n v="0"/>
    <n v="0"/>
    <x v="14"/>
    <n v="95"/>
    <x v="0"/>
    <x v="0"/>
  </r>
  <r>
    <x v="90"/>
    <n v="899"/>
    <n v="1699"/>
    <x v="0"/>
    <m/>
    <m/>
    <x v="10"/>
    <n v="0"/>
    <n v="0"/>
    <x v="14"/>
    <n v="800"/>
    <x v="0"/>
    <x v="0"/>
  </r>
  <r>
    <x v="91"/>
    <n v="1200"/>
    <n v="2400"/>
    <x v="0"/>
    <m/>
    <m/>
    <x v="10"/>
    <n v="0"/>
    <n v="0"/>
    <x v="14"/>
    <n v="1200"/>
    <x v="0"/>
    <x v="0"/>
  </r>
  <r>
    <x v="92"/>
    <n v="1526"/>
    <n v="1660"/>
    <x v="0"/>
    <m/>
    <m/>
    <x v="10"/>
    <n v="0"/>
    <n v="0"/>
    <x v="14"/>
    <n v="134"/>
    <x v="0"/>
    <x v="0"/>
  </r>
  <r>
    <x v="93"/>
    <n v="1462"/>
    <n v="1499"/>
    <x v="0"/>
    <m/>
    <m/>
    <x v="10"/>
    <n v="0"/>
    <n v="0"/>
    <x v="14"/>
    <n v="37"/>
    <x v="0"/>
    <x v="0"/>
  </r>
  <r>
    <x v="94"/>
    <n v="248"/>
    <n v="486"/>
    <x v="0"/>
    <m/>
    <m/>
    <x v="10"/>
    <n v="0"/>
    <n v="0"/>
    <x v="14"/>
    <n v="238"/>
    <x v="0"/>
    <x v="0"/>
  </r>
  <r>
    <x v="95"/>
    <n v="3546"/>
    <n v="3699"/>
    <x v="0"/>
    <m/>
    <m/>
    <x v="10"/>
    <n v="0"/>
    <n v="0"/>
    <x v="14"/>
    <n v="153"/>
    <x v="0"/>
    <x v="0"/>
  </r>
  <r>
    <x v="96"/>
    <n v="525"/>
    <n v="1029"/>
    <x v="0"/>
    <m/>
    <m/>
    <x v="10"/>
    <n v="0"/>
    <n v="0"/>
    <x v="14"/>
    <n v="504"/>
    <x v="0"/>
    <x v="0"/>
  </r>
  <r>
    <x v="97"/>
    <n v="1080"/>
    <n v="1874"/>
    <x v="0"/>
    <m/>
    <m/>
    <x v="10"/>
    <n v="0"/>
    <n v="0"/>
    <x v="14"/>
    <n v="794"/>
    <x v="0"/>
    <x v="0"/>
  </r>
  <r>
    <x v="98"/>
    <n v="3640"/>
    <n v="4588"/>
    <x v="0"/>
    <n v="-1"/>
    <s v="5 out of 5"/>
    <x v="8"/>
    <n v="1"/>
    <n v="1"/>
    <x v="18"/>
    <n v="948"/>
    <x v="0"/>
    <x v="0"/>
  </r>
  <r>
    <x v="99"/>
    <n v="1420"/>
    <n v="2420"/>
    <x v="0"/>
    <m/>
    <m/>
    <x v="10"/>
    <n v="0"/>
    <n v="0"/>
    <x v="14"/>
    <n v="1000"/>
    <x v="0"/>
    <x v="0"/>
  </r>
  <r>
    <x v="100"/>
    <n v="1875"/>
    <n v="1899"/>
    <x v="0"/>
    <m/>
    <m/>
    <x v="10"/>
    <n v="0"/>
    <n v="0"/>
    <x v="14"/>
    <n v="24"/>
    <x v="0"/>
    <x v="0"/>
  </r>
  <r>
    <x v="101"/>
    <n v="198"/>
    <n v="260"/>
    <x v="0"/>
    <m/>
    <m/>
    <x v="10"/>
    <m/>
    <n v="0"/>
    <x v="14"/>
    <n v="62"/>
    <x v="0"/>
    <x v="0"/>
  </r>
  <r>
    <x v="102"/>
    <n v="1150"/>
    <n v="1737"/>
    <x v="0"/>
    <m/>
    <m/>
    <x v="10"/>
    <n v="0"/>
    <n v="0"/>
    <x v="14"/>
    <n v="587"/>
    <x v="0"/>
    <x v="0"/>
  </r>
  <r>
    <x v="103"/>
    <n v="1190"/>
    <n v="1810"/>
    <x v="0"/>
    <m/>
    <m/>
    <x v="10"/>
    <n v="0"/>
    <n v="0"/>
    <x v="14"/>
    <n v="620"/>
    <x v="0"/>
    <x v="0"/>
  </r>
  <r>
    <x v="104"/>
    <n v="1658"/>
    <n v="1699"/>
    <x v="0"/>
    <m/>
    <m/>
    <x v="10"/>
    <n v="0"/>
    <n v="0"/>
    <x v="14"/>
    <n v="41"/>
    <x v="0"/>
    <x v="0"/>
  </r>
  <r>
    <x v="105"/>
    <n v="1768"/>
    <n v="1799"/>
    <x v="0"/>
    <m/>
    <m/>
    <x v="10"/>
    <n v="0"/>
    <n v="0"/>
    <x v="14"/>
    <n v="31"/>
    <x v="0"/>
    <x v="0"/>
  </r>
  <r>
    <x v="106"/>
    <n v="199"/>
    <n v="553"/>
    <x v="0"/>
    <m/>
    <m/>
    <x v="10"/>
    <n v="0"/>
    <n v="0"/>
    <x v="14"/>
    <n v="354"/>
    <x v="0"/>
    <x v="0"/>
  </r>
  <r>
    <x v="107"/>
    <n v="450"/>
    <n v="900"/>
    <x v="0"/>
    <n v="-1"/>
    <s v="2 out of 5"/>
    <x v="22"/>
    <n v="1"/>
    <n v="1"/>
    <x v="18"/>
    <n v="450"/>
    <x v="2"/>
    <x v="0"/>
  </r>
  <r>
    <x v="108"/>
    <n v="169"/>
    <n v="320"/>
    <x v="0"/>
    <m/>
    <m/>
    <x v="10"/>
    <n v="0"/>
    <n v="0"/>
    <x v="14"/>
    <n v="151"/>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KSh 950"/>
    <s v="KSh 1,525"/>
    <n v="0.38"/>
    <n v="-2"/>
    <s v="4.5 out of 5"/>
  </r>
  <r>
    <x v="1"/>
    <s v="KSh 527"/>
    <s v="KSh 999"/>
    <n v="0.47"/>
    <n v="-14"/>
    <s v="4.1 out of 5"/>
  </r>
  <r>
    <x v="2"/>
    <s v="KSh 2,199"/>
    <s v="KSh 2,923"/>
    <n v="0.25"/>
    <n v="-24"/>
    <s v="4.6 out of 5"/>
  </r>
  <r>
    <x v="3"/>
    <s v="KSh 1,580"/>
    <s v="KSh 2,499"/>
    <n v="0.37"/>
    <n v="-7"/>
    <s v="4.7 out of 5"/>
  </r>
  <r>
    <x v="4"/>
    <s v="KSh 1,740"/>
    <s v="KSh 2,356"/>
    <n v="0.26"/>
    <n v="-5"/>
    <s v="4.8 out of 5"/>
  </r>
  <r>
    <x v="5"/>
    <s v="KSh 2,999"/>
    <s v="KSh 3,290"/>
    <n v="0.09"/>
    <n v="-15"/>
    <s v="4 out of 5"/>
  </r>
  <r>
    <x v="6"/>
    <s v="KSh 2,319"/>
    <s v="KSh 3,032"/>
    <n v="0.24"/>
    <n v="-55"/>
    <s v="4.6 out of 5"/>
  </r>
  <r>
    <x v="7"/>
    <s v="KSh 988"/>
    <s v="KSh 1,580"/>
    <n v="0.37"/>
    <n v="-2"/>
    <s v="4 out of 5"/>
  </r>
  <r>
    <x v="8"/>
    <s v="KSh 1,274"/>
    <s v="KSh 2,800"/>
    <n v="0.55000000000000004"/>
    <n v="-5"/>
    <s v="4.8 out of 5"/>
  </r>
  <r>
    <x v="9"/>
    <s v="KSh 1,600"/>
    <s v="KSh 2,929"/>
    <n v="0.45"/>
    <n v="-5"/>
    <s v="3.8 out of 5"/>
  </r>
  <r>
    <x v="10"/>
    <s v="KSh 799"/>
    <s v="KSh 999"/>
    <n v="0.2"/>
    <n v="-12"/>
    <s v="4.1 out of 5"/>
  </r>
  <r>
    <x v="11"/>
    <s v="KSh 990"/>
    <s v="KSh 1,500"/>
    <n v="0.34"/>
    <n v="-39"/>
    <s v="4.7 out of 5"/>
  </r>
  <r>
    <x v="12"/>
    <s v="KSh 552"/>
    <s v="KSh 1,035"/>
    <n v="0.47"/>
    <n v="-12"/>
    <s v="4.8 out of 5"/>
  </r>
  <r>
    <x v="13"/>
    <s v="KSh 501"/>
    <s v="KSh 860"/>
    <n v="0.42"/>
    <n v="-6"/>
    <s v="4.5 out of 5"/>
  </r>
  <r>
    <x v="14"/>
    <s v="KSh 1,680"/>
    <s v="KSh 2,499"/>
    <n v="0.33"/>
    <n v="-9"/>
    <s v="4.2 out of 5"/>
  </r>
  <r>
    <x v="15"/>
    <s v="KSh 332"/>
    <s v="KSh 684"/>
    <n v="0.51"/>
    <n v="-2"/>
    <s v="5 out of 5"/>
  </r>
  <r>
    <x v="16"/>
    <s v="KSh 195"/>
    <s v="KSh 360"/>
    <n v="0.46"/>
    <n v="-2"/>
    <s v="5 out of 5"/>
  </r>
  <r>
    <x v="17"/>
    <s v="KSh 2,025"/>
    <s v="KSh 3,971"/>
    <n v="0.49"/>
    <n v="-3"/>
    <s v="5 out of 5"/>
  </r>
  <r>
    <x v="18"/>
    <s v="KSh 2,999"/>
    <s v="KSh 3,699"/>
    <n v="0.19"/>
    <n v="-5"/>
    <s v="4.6 out of 5"/>
  </r>
  <r>
    <x v="19"/>
    <s v="KSh 998"/>
    <s v="KSh 1,966"/>
    <n v="0.49"/>
    <n v="-44"/>
    <s v="4.6 out of 5"/>
  </r>
  <r>
    <x v="20"/>
    <s v="KSh 38"/>
    <s v="KSh 80"/>
    <n v="0.53"/>
    <n v="-13"/>
    <s v="3.3 out of 5"/>
  </r>
  <r>
    <x v="21"/>
    <s v="KSh 1,860"/>
    <s v="KSh 3,220"/>
    <n v="0.42"/>
    <m/>
    <m/>
  </r>
  <r>
    <x v="22"/>
    <s v="KSh 880"/>
    <s v="KSh 1,350"/>
    <n v="0.35"/>
    <n v="-6"/>
    <s v="4 out of 5"/>
  </r>
  <r>
    <x v="23"/>
    <s v="KSh 1,650"/>
    <s v="KSh 2,150"/>
    <n v="0.23"/>
    <n v="-14"/>
    <s v="4.4 out of 5"/>
  </r>
  <r>
    <x v="24"/>
    <s v="KSh 2,048"/>
    <s v="KSh 4,500"/>
    <n v="0.54"/>
    <n v="-7"/>
    <s v="4.3 out of 5"/>
  </r>
  <r>
    <x v="25"/>
    <s v="KSh 420"/>
    <s v="KSh 647"/>
    <n v="0.35"/>
    <n v="-49"/>
    <s v="4.6 out of 5"/>
  </r>
  <r>
    <x v="26"/>
    <s v="KSh 2,880"/>
    <s v="KSh 3,520"/>
    <n v="0.18"/>
    <n v="-12"/>
    <s v="3.8 out of 5"/>
  </r>
  <r>
    <x v="27"/>
    <s v="KSh 1,350"/>
    <s v="KSh 1,990"/>
    <n v="0.32"/>
    <n v="-13"/>
    <s v="3.8 out of 5"/>
  </r>
  <r>
    <x v="28"/>
    <s v="KSh 1,758"/>
    <s v="KSh 2,499"/>
    <n v="0.3"/>
    <n v="-20"/>
    <s v="4.1 out of 5"/>
  </r>
  <r>
    <x v="29"/>
    <s v="KSh 2,200"/>
    <s v="KSh 4,080"/>
    <n v="0.46"/>
    <m/>
    <m/>
  </r>
  <r>
    <x v="30"/>
    <s v="KSh 185"/>
    <s v="KSh 382"/>
    <n v="0.52"/>
    <n v="-9"/>
    <s v="4.3 out of 5"/>
  </r>
  <r>
    <x v="31"/>
    <s v="KSh 980"/>
    <s v="KSh 1,490"/>
    <n v="0.34"/>
    <n v="-12"/>
    <s v="4.7 out of 5"/>
  </r>
  <r>
    <x v="32"/>
    <s v="KSh 1,820"/>
    <s v="KSh 3,490"/>
    <n v="0.48"/>
    <n v="-9"/>
    <s v="4.3 out of 5"/>
  </r>
  <r>
    <x v="33"/>
    <s v="KSh 1,940"/>
    <s v="KSh 2,650"/>
    <n v="0.27"/>
    <n v="-20"/>
    <s v="4.7 out of 5"/>
  </r>
  <r>
    <x v="34"/>
    <s v="KSh 1,980"/>
    <s v="KSh 2,699"/>
    <n v="0.27"/>
    <n v="-32"/>
    <s v="4.5 out of 5"/>
  </r>
  <r>
    <x v="35"/>
    <s v="KSh 1,620"/>
    <s v="KSh 2,690"/>
    <n v="0.4"/>
    <n v="-1"/>
    <s v="5 out of 5"/>
  </r>
  <r>
    <x v="36"/>
    <s v="KSh 171"/>
    <s v="KSh 360"/>
    <n v="0.53"/>
    <n v="-2"/>
    <s v="5 out of 5"/>
  </r>
  <r>
    <x v="37"/>
    <s v="KSh 389"/>
    <s v="KSh 656"/>
    <n v="0.41"/>
    <n v="-36"/>
    <s v="4.3 out of 5"/>
  </r>
  <r>
    <x v="38"/>
    <s v="KSh 1,620 - KSh 1,980"/>
    <s v="KSh 2,200 - KSh 3,200"/>
    <n v="0.38"/>
    <n v="-2"/>
    <s v="4.5 out of 5"/>
  </r>
  <r>
    <x v="39"/>
    <s v="KSh 2,750"/>
    <s v="KSh 4,471"/>
    <n v="0.38"/>
    <m/>
    <m/>
  </r>
  <r>
    <x v="40"/>
    <s v="KSh 475"/>
    <s v="KSh 931"/>
    <n v="0.49"/>
    <m/>
    <m/>
  </r>
  <r>
    <x v="41"/>
    <s v="KSh 238"/>
    <s v="KSh 476"/>
    <n v="0.5"/>
    <m/>
    <m/>
  </r>
  <r>
    <x v="42"/>
    <s v="KSh 610"/>
    <s v="KSh 1,060"/>
    <n v="0.42"/>
    <m/>
    <m/>
  </r>
  <r>
    <x v="43"/>
    <s v="KSh 2,132"/>
    <s v="KSh 2,169"/>
    <n v="0.02"/>
    <m/>
    <m/>
  </r>
  <r>
    <x v="44"/>
    <s v="KSh 999"/>
    <s v="KSh 2,000"/>
    <n v="0.5"/>
    <m/>
    <m/>
  </r>
  <r>
    <x v="45"/>
    <s v="KSh 1,190"/>
    <s v="KSh 1,785"/>
    <n v="0.33"/>
    <m/>
    <m/>
  </r>
  <r>
    <x v="46"/>
    <s v="KSh 671"/>
    <s v="KSh 1,316"/>
    <n v="0.49"/>
    <m/>
    <m/>
  </r>
  <r>
    <x v="47"/>
    <s v="KSh 1,200"/>
    <s v="KSh 1,950"/>
    <n v="0.38"/>
    <m/>
    <m/>
  </r>
  <r>
    <x v="48"/>
    <s v="KSh 199"/>
    <s v="KSh 504"/>
    <n v="0.61"/>
    <m/>
    <m/>
  </r>
  <r>
    <x v="49"/>
    <s v="KSh 299"/>
    <s v="KSh 600"/>
    <n v="0.5"/>
    <m/>
    <m/>
  </r>
  <r>
    <x v="50"/>
    <s v="KSh 1,660"/>
    <s v="KSh 1,699"/>
    <n v="0.02"/>
    <m/>
    <m/>
  </r>
  <r>
    <x v="51"/>
    <s v="KSh 299"/>
    <s v="KSh 384"/>
    <n v="0.22"/>
    <m/>
    <m/>
  </r>
  <r>
    <x v="52"/>
    <s v="KSh 1,459"/>
    <s v="KSh 1,499"/>
    <n v="0.03"/>
    <m/>
    <m/>
  </r>
  <r>
    <x v="53"/>
    <s v="KSh 799"/>
    <s v="KSh 1,343"/>
    <n v="0.41"/>
    <m/>
    <m/>
  </r>
  <r>
    <x v="54"/>
    <s v="KSh 499"/>
    <s v="KSh 900"/>
    <n v="0.45"/>
    <m/>
    <m/>
  </r>
  <r>
    <x v="55"/>
    <s v="KSh 699"/>
    <s v="KSh 1,343"/>
    <n v="0.48"/>
    <m/>
    <m/>
  </r>
  <r>
    <x v="56"/>
    <s v="KSh 799"/>
    <s v="KSh 1,567"/>
    <n v="0.49"/>
    <m/>
    <m/>
  </r>
  <r>
    <x v="57"/>
    <s v="KSh 2,799"/>
    <s v="KSh 3,810"/>
    <n v="0.27"/>
    <m/>
    <m/>
  </r>
  <r>
    <x v="54"/>
    <s v="KSh 399"/>
    <s v="KSh 896"/>
    <n v="0.55000000000000004"/>
    <m/>
    <m/>
  </r>
  <r>
    <x v="58"/>
    <s v="KSh 2,170"/>
    <s v="KSh 2,500"/>
    <n v="0.13"/>
    <n v="-6"/>
    <s v="2.5 out of 5"/>
  </r>
  <r>
    <x v="59"/>
    <s v="KSh 458"/>
    <s v="KSh 986"/>
    <n v="0.54"/>
    <n v="-10"/>
    <s v="3 out of 5"/>
  </r>
  <r>
    <x v="60"/>
    <s v="KSh 2,115"/>
    <s v="KSh 4,700"/>
    <n v="0.55000000000000004"/>
    <n v="-13"/>
    <s v="2.1 out of 5"/>
  </r>
  <r>
    <x v="61"/>
    <s v="KSh 445"/>
    <s v="KSh 873"/>
    <n v="0.49"/>
    <n v="-69"/>
    <s v="2.8 out of 5"/>
  </r>
  <r>
    <x v="62"/>
    <s v="KSh 325"/>
    <s v="KSh 680"/>
    <n v="0.52"/>
    <n v="-15"/>
    <s v="2.7 out of 5"/>
  </r>
  <r>
    <x v="63"/>
    <s v="KSh 1,220"/>
    <s v="KSh 1,555"/>
    <n v="0.22"/>
    <n v="-16"/>
    <s v="2.9 out of 5"/>
  </r>
  <r>
    <x v="64"/>
    <s v="KSh 990"/>
    <s v="KSh 1,814"/>
    <n v="0.45"/>
    <n v="-6"/>
    <s v="2.2 out of 5"/>
  </r>
  <r>
    <x v="65"/>
    <s v="KSh 1,000"/>
    <s v="KSh 2,000"/>
    <n v="0.5"/>
    <n v="-7"/>
    <s v="2.3 out of 5"/>
  </r>
  <r>
    <x v="66"/>
    <s v="KSh 3,750"/>
    <s v="KSh 6,143"/>
    <n v="0.39"/>
    <n v="-5"/>
    <s v="3 out of 5"/>
  </r>
  <r>
    <x v="67"/>
    <s v="KSh 382"/>
    <s v="KSh 700"/>
    <n v="0.45"/>
    <n v="-17"/>
    <s v="2.6 out of 5"/>
  </r>
  <r>
    <x v="68"/>
    <s v="KSh 2,300"/>
    <s v="KSh 3,240"/>
    <n v="0.28999999999999998"/>
    <n v="-5"/>
    <s v="3 out of 5"/>
  </r>
  <r>
    <x v="69"/>
    <s v="KSh 345"/>
    <s v="KSh 602"/>
    <n v="0.43"/>
    <n v="-6"/>
    <s v="2.3 out of 5"/>
  </r>
  <r>
    <x v="70"/>
    <s v="KSh 509"/>
    <s v="KSh 899"/>
    <n v="0.43"/>
    <n v="-5"/>
    <s v="3 out of 5"/>
  </r>
  <r>
    <x v="71"/>
    <s v="KSh 968"/>
    <s v="KSh 1,814"/>
    <n v="0.47"/>
    <n v="-6"/>
    <s v="2.2 out of 5"/>
  </r>
  <r>
    <x v="72"/>
    <s v="KSh 1,570"/>
    <s v="KSh 2,988"/>
    <n v="0.47"/>
    <n v="-7"/>
    <s v="2.1 out of 5"/>
  </r>
  <r>
    <x v="73"/>
    <s v="KSh 790"/>
    <s v="KSh 1,485"/>
    <n v="0.47"/>
    <m/>
    <m/>
  </r>
  <r>
    <x v="74"/>
    <s v="KSh 690"/>
    <s v="KSh 1,200"/>
    <n v="0.43"/>
    <m/>
    <m/>
  </r>
  <r>
    <x v="75"/>
    <s v="KSh 1,732"/>
    <s v="KSh 1,799"/>
    <n v="0.04"/>
    <m/>
    <m/>
  </r>
  <r>
    <x v="76"/>
    <s v="KSh 230"/>
    <s v="KSh 450"/>
    <n v="0.49"/>
    <m/>
    <m/>
  </r>
  <r>
    <x v="77"/>
    <s v="KSh 1,189"/>
    <s v="KSh 2,199"/>
    <n v="0.46"/>
    <n v="-1"/>
    <s v="3 out of 5"/>
  </r>
  <r>
    <x v="78"/>
    <s v="KSh 979"/>
    <s v="KSh 1,920"/>
    <n v="0.49"/>
    <n v="-1"/>
    <s v="5 out of 5"/>
  </r>
  <r>
    <x v="79"/>
    <s v="KSh 1,460"/>
    <s v="KSh 2,290"/>
    <n v="0.36"/>
    <m/>
    <m/>
  </r>
  <r>
    <x v="80"/>
    <s v="KSh 1,666"/>
    <s v="KSh 1,699"/>
    <n v="0.02"/>
    <m/>
    <m/>
  </r>
  <r>
    <x v="81"/>
    <s v="KSh 330"/>
    <s v="KSh 647"/>
    <n v="0.49"/>
    <n v="-1"/>
    <s v="4 out of 5"/>
  </r>
  <r>
    <x v="48"/>
    <s v="KSh 176"/>
    <s v="KSh 345"/>
    <n v="0.49"/>
    <m/>
    <m/>
  </r>
  <r>
    <x v="82"/>
    <s v="KSh 1,466"/>
    <s v="KSh 1,699"/>
    <n v="0.14000000000000001"/>
    <m/>
    <m/>
  </r>
  <r>
    <x v="83"/>
    <s v="KSh 274"/>
    <s v="KSh 537"/>
    <n v="0.49"/>
    <m/>
    <m/>
  </r>
  <r>
    <x v="84"/>
    <s v="KSh 799"/>
    <s v="KSh 900"/>
    <n v="0.11"/>
    <m/>
    <m/>
  </r>
  <r>
    <x v="56"/>
    <s v="KSh 657"/>
    <s v="KSh 1,288"/>
    <n v="0.49"/>
    <m/>
    <m/>
  </r>
  <r>
    <x v="85"/>
    <s v="KSh 1,468"/>
    <s v="KSh 1,699"/>
    <n v="0.14000000000000001"/>
    <m/>
    <m/>
  </r>
  <r>
    <x v="86"/>
    <s v="KSh 630"/>
    <s v="KSh 1,100"/>
    <n v="0.43"/>
    <m/>
    <m/>
  </r>
  <r>
    <x v="87"/>
    <s v="KSh 850"/>
    <s v="KSh 1,700"/>
    <n v="0.5"/>
    <m/>
    <m/>
  </r>
  <r>
    <x v="88"/>
    <s v="KSh 1,300"/>
    <s v="KSh 2,500"/>
    <n v="0.48"/>
    <m/>
    <m/>
  </r>
  <r>
    <x v="89"/>
    <s v="KSh 105"/>
    <s v="KSh 200"/>
    <n v="0.48"/>
    <m/>
    <m/>
  </r>
  <r>
    <x v="90"/>
    <s v="KSh 899"/>
    <s v="KSh 1,699"/>
    <n v="0.47"/>
    <m/>
    <m/>
  </r>
  <r>
    <x v="91"/>
    <s v="KSh 1,200"/>
    <s v="KSh 2,400"/>
    <n v="0.5"/>
    <m/>
    <m/>
  </r>
  <r>
    <x v="92"/>
    <s v="KSh 1,526"/>
    <s v="KSh 1,660"/>
    <n v="0.08"/>
    <m/>
    <m/>
  </r>
  <r>
    <x v="93"/>
    <s v="KSh 1,462"/>
    <s v="KSh 1,499"/>
    <n v="0.02"/>
    <m/>
    <m/>
  </r>
  <r>
    <x v="94"/>
    <s v="KSh 248"/>
    <s v="KSh 486"/>
    <n v="0.49"/>
    <m/>
    <m/>
  </r>
  <r>
    <x v="95"/>
    <s v="KSh 3,546"/>
    <s v="KSh 3,699"/>
    <n v="0.04"/>
    <m/>
    <m/>
  </r>
  <r>
    <x v="96"/>
    <s v="KSh 525"/>
    <s v="KSh 1,029"/>
    <n v="0.49"/>
    <m/>
    <m/>
  </r>
  <r>
    <x v="97"/>
    <s v="KSh 1,080"/>
    <s v="KSh 1,874"/>
    <n v="0.42"/>
    <m/>
    <m/>
  </r>
  <r>
    <x v="98"/>
    <s v="KSh 3,640"/>
    <s v="KSh 4,588"/>
    <n v="0.21"/>
    <n v="-1"/>
    <s v="5 out of 5"/>
  </r>
  <r>
    <x v="99"/>
    <s v="KSh 1,420"/>
    <s v="KSh 2,420"/>
    <n v="0.41"/>
    <m/>
    <m/>
  </r>
  <r>
    <x v="100"/>
    <s v="KSh 1,875"/>
    <s v="KSh 1,899"/>
    <n v="0.01"/>
    <m/>
    <m/>
  </r>
  <r>
    <x v="101"/>
    <s v="KSh 198"/>
    <s v="KSh 260"/>
    <n v="0.24"/>
    <m/>
    <m/>
  </r>
  <r>
    <x v="102"/>
    <s v="KSh 1,150"/>
    <s v="KSh 1,737"/>
    <n v="0.34"/>
    <m/>
    <m/>
  </r>
  <r>
    <x v="103"/>
    <s v="KSh 1,190"/>
    <s v="KSh 1,810"/>
    <n v="0.34"/>
    <m/>
    <m/>
  </r>
  <r>
    <x v="104"/>
    <s v="KSh 1,658"/>
    <s v="KSh 1,699"/>
    <n v="0.02"/>
    <m/>
    <m/>
  </r>
  <r>
    <x v="105"/>
    <s v="KSh 1,768"/>
    <s v="KSh 1,799"/>
    <n v="0.02"/>
    <m/>
    <m/>
  </r>
  <r>
    <x v="106"/>
    <s v="KSh 199"/>
    <s v="KSh 553"/>
    <n v="0.64"/>
    <m/>
    <m/>
  </r>
  <r>
    <x v="107"/>
    <s v="KSh 450"/>
    <s v="KSh 900"/>
    <n v="0.5"/>
    <n v="-1"/>
    <s v="2 out of 5"/>
  </r>
  <r>
    <x v="108"/>
    <s v="KSh 169"/>
    <s v="KSh 320"/>
    <n v="0.47"/>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KSh 950"/>
    <s v="KSh 1,525"/>
    <n v="0.38"/>
    <n v="-2"/>
    <s v="4.5 out of 5"/>
    <x v="0"/>
  </r>
  <r>
    <x v="1"/>
    <s v="KSh 527"/>
    <s v="KSh 999"/>
    <n v="0.47"/>
    <n v="-14"/>
    <s v="4.1 out of 5"/>
    <x v="1"/>
  </r>
  <r>
    <x v="2"/>
    <s v="KSh 2,199"/>
    <s v="KSh 2,923"/>
    <n v="0.25"/>
    <n v="-24"/>
    <s v="4.6 out of 5"/>
    <x v="0"/>
  </r>
  <r>
    <x v="3"/>
    <s v="KSh 1,580"/>
    <s v="KSh 2,499"/>
    <n v="0.37"/>
    <n v="-7"/>
    <s v="4.7 out of 5"/>
    <x v="0"/>
  </r>
  <r>
    <x v="4"/>
    <s v="KSh 1,740"/>
    <s v="KSh 2,356"/>
    <n v="0.26"/>
    <n v="-5"/>
    <s v="4.8 out of 5"/>
    <x v="0"/>
  </r>
  <r>
    <x v="5"/>
    <s v="KSh 2,999"/>
    <s v="KSh 3,290"/>
    <n v="0.09"/>
    <n v="-15"/>
    <s v="4 out of 5"/>
    <x v="2"/>
  </r>
  <r>
    <x v="6"/>
    <s v="KSh 2,319"/>
    <s v="KSh 3,032"/>
    <n v="0.24"/>
    <n v="-55"/>
    <s v="4.6 out of 5"/>
    <x v="0"/>
  </r>
  <r>
    <x v="7"/>
    <s v="KSh 988"/>
    <s v="KSh 1,580"/>
    <n v="0.37"/>
    <n v="-2"/>
    <s v="4 out of 5"/>
    <x v="0"/>
  </r>
  <r>
    <x v="8"/>
    <s v="KSh 1,274"/>
    <s v="KSh 2,800"/>
    <n v="0.55000000000000004"/>
    <n v="-5"/>
    <s v="4.8 out of 5"/>
    <x v="1"/>
  </r>
  <r>
    <x v="9"/>
    <s v="KSh 1,600"/>
    <s v="KSh 2,929"/>
    <n v="0.45"/>
    <n v="-5"/>
    <s v="3.8 out of 5"/>
    <x v="1"/>
  </r>
  <r>
    <x v="10"/>
    <s v="KSh 799"/>
    <s v="KSh 999"/>
    <n v="0.2"/>
    <n v="-12"/>
    <s v="4.1 out of 5"/>
    <x v="0"/>
  </r>
  <r>
    <x v="11"/>
    <s v="KSh 990"/>
    <s v="KSh 1,500"/>
    <n v="0.34"/>
    <n v="-39"/>
    <s v="4.7 out of 5"/>
    <x v="0"/>
  </r>
  <r>
    <x v="12"/>
    <s v="KSh 552"/>
    <s v="KSh 1,035"/>
    <n v="0.47"/>
    <n v="-12"/>
    <s v="4.8 out of 5"/>
    <x v="1"/>
  </r>
  <r>
    <x v="13"/>
    <s v="KSh 501"/>
    <s v="KSh 860"/>
    <n v="0.42"/>
    <n v="-6"/>
    <s v="4.5 out of 5"/>
    <x v="1"/>
  </r>
  <r>
    <x v="14"/>
    <s v="KSh 1,680"/>
    <s v="KSh 2,499"/>
    <n v="0.33"/>
    <n v="-9"/>
    <s v="4.2 out of 5"/>
    <x v="0"/>
  </r>
  <r>
    <x v="15"/>
    <s v="KSh 332"/>
    <s v="KSh 684"/>
    <n v="0.51"/>
    <n v="-2"/>
    <s v="5 out of 5"/>
    <x v="1"/>
  </r>
  <r>
    <x v="16"/>
    <s v="KSh 195"/>
    <s v="KSh 360"/>
    <n v="0.46"/>
    <n v="-2"/>
    <s v="5 out of 5"/>
    <x v="1"/>
  </r>
  <r>
    <x v="17"/>
    <s v="KSh 2,025"/>
    <s v="KSh 3,971"/>
    <n v="0.49"/>
    <n v="-3"/>
    <s v="5 out of 5"/>
    <x v="1"/>
  </r>
  <r>
    <x v="18"/>
    <s v="KSh 2,999"/>
    <s v="KSh 3,699"/>
    <n v="0.19"/>
    <n v="-5"/>
    <s v="4.6 out of 5"/>
    <x v="2"/>
  </r>
  <r>
    <x v="19"/>
    <s v="KSh 998"/>
    <s v="KSh 1,966"/>
    <n v="0.49"/>
    <n v="-44"/>
    <s v="4.6 out of 5"/>
    <x v="1"/>
  </r>
  <r>
    <x v="20"/>
    <s v="KSh 38"/>
    <s v="KSh 80"/>
    <n v="0.53"/>
    <n v="-13"/>
    <s v="3.3 out of 5"/>
    <x v="1"/>
  </r>
  <r>
    <x v="21"/>
    <s v="KSh 1,860"/>
    <s v="KSh 3,220"/>
    <n v="0.42"/>
    <m/>
    <m/>
    <x v="1"/>
  </r>
  <r>
    <x v="22"/>
    <s v="KSh 880"/>
    <s v="KSh 1,350"/>
    <n v="0.35"/>
    <n v="-6"/>
    <s v="4 out of 5"/>
    <x v="0"/>
  </r>
  <r>
    <x v="23"/>
    <s v="KSh 1,650"/>
    <s v="KSh 2,150"/>
    <n v="0.23"/>
    <n v="-14"/>
    <s v="4.4 out of 5"/>
    <x v="0"/>
  </r>
  <r>
    <x v="24"/>
    <s v="KSh 2,048"/>
    <s v="KSh 4,500"/>
    <n v="0.54"/>
    <n v="-7"/>
    <s v="4.3 out of 5"/>
    <x v="1"/>
  </r>
  <r>
    <x v="25"/>
    <s v="KSh 420"/>
    <s v="KSh 647"/>
    <n v="0.35"/>
    <n v="-49"/>
    <s v="4.6 out of 5"/>
    <x v="0"/>
  </r>
  <r>
    <x v="26"/>
    <s v="KSh 2,880"/>
    <s v="KSh 3,520"/>
    <n v="0.18"/>
    <n v="-12"/>
    <s v="3.8 out of 5"/>
    <x v="2"/>
  </r>
  <r>
    <x v="27"/>
    <s v="KSh 1,350"/>
    <s v="KSh 1,990"/>
    <n v="0.32"/>
    <n v="-13"/>
    <s v="3.8 out of 5"/>
    <x v="0"/>
  </r>
  <r>
    <x v="28"/>
    <s v="KSh 1,758"/>
    <s v="KSh 2,499"/>
    <n v="0.3"/>
    <n v="-20"/>
    <s v="4.1 out of 5"/>
    <x v="0"/>
  </r>
  <r>
    <x v="29"/>
    <s v="KSh 2,200"/>
    <s v="KSh 4,080"/>
    <n v="0.46"/>
    <m/>
    <m/>
    <x v="1"/>
  </r>
  <r>
    <x v="30"/>
    <s v="KSh 185"/>
    <s v="KSh 382"/>
    <n v="0.52"/>
    <n v="-9"/>
    <s v="4.3 out of 5"/>
    <x v="1"/>
  </r>
  <r>
    <x v="31"/>
    <s v="KSh 980"/>
    <s v="KSh 1,490"/>
    <n v="0.34"/>
    <n v="-12"/>
    <s v="4.7 out of 5"/>
    <x v="0"/>
  </r>
  <r>
    <x v="32"/>
    <s v="KSh 1,820"/>
    <s v="KSh 3,490"/>
    <n v="0.48"/>
    <n v="-9"/>
    <s v="4.3 out of 5"/>
    <x v="1"/>
  </r>
  <r>
    <x v="33"/>
    <s v="KSh 1,940"/>
    <s v="KSh 2,650"/>
    <n v="0.27"/>
    <n v="-20"/>
    <s v="4.7 out of 5"/>
    <x v="0"/>
  </r>
  <r>
    <x v="34"/>
    <s v="KSh 1,980"/>
    <s v="KSh 2,699"/>
    <n v="0.27"/>
    <n v="-32"/>
    <s v="4.5 out of 5"/>
    <x v="0"/>
  </r>
  <r>
    <x v="35"/>
    <s v="KSh 1,620"/>
    <s v="KSh 2,690"/>
    <n v="0.4"/>
    <n v="-1"/>
    <s v="5 out of 5"/>
    <x v="0"/>
  </r>
  <r>
    <x v="36"/>
    <s v="KSh 171"/>
    <s v="KSh 360"/>
    <n v="0.53"/>
    <n v="-2"/>
    <s v="5 out of 5"/>
    <x v="1"/>
  </r>
  <r>
    <x v="37"/>
    <s v="KSh 389"/>
    <s v="KSh 656"/>
    <n v="0.41"/>
    <n v="-36"/>
    <s v="4.3 out of 5"/>
    <x v="1"/>
  </r>
  <r>
    <x v="38"/>
    <s v="KSh 1,620 - KSh 1,980"/>
    <s v="KSh 2,200 - KSh 3,200"/>
    <n v="0.38"/>
    <n v="-2"/>
    <s v="4.5 out of 5"/>
    <x v="0"/>
  </r>
  <r>
    <x v="39"/>
    <s v="KSh 2,750"/>
    <s v="KSh 4,471"/>
    <n v="0.38"/>
    <m/>
    <m/>
    <x v="0"/>
  </r>
  <r>
    <x v="40"/>
    <s v="KSh 475"/>
    <s v="KSh 931"/>
    <n v="0.49"/>
    <m/>
    <m/>
    <x v="1"/>
  </r>
  <r>
    <x v="41"/>
    <s v="KSh 238"/>
    <s v="KSh 476"/>
    <n v="0.5"/>
    <m/>
    <m/>
    <x v="1"/>
  </r>
  <r>
    <x v="42"/>
    <s v="KSh 610"/>
    <s v="KSh 1,060"/>
    <n v="0.42"/>
    <m/>
    <m/>
    <x v="1"/>
  </r>
  <r>
    <x v="43"/>
    <s v="KSh 2,132"/>
    <s v="KSh 2,169"/>
    <n v="0.02"/>
    <m/>
    <m/>
    <x v="2"/>
  </r>
  <r>
    <x v="44"/>
    <s v="KSh 999"/>
    <s v="KSh 2,000"/>
    <n v="0.5"/>
    <m/>
    <m/>
    <x v="1"/>
  </r>
  <r>
    <x v="45"/>
    <s v="KSh 1,190"/>
    <s v="KSh 1,785"/>
    <n v="0.33"/>
    <m/>
    <m/>
    <x v="0"/>
  </r>
  <r>
    <x v="46"/>
    <s v="KSh 671"/>
    <s v="KSh 1,316"/>
    <n v="0.49"/>
    <m/>
    <m/>
    <x v="1"/>
  </r>
  <r>
    <x v="47"/>
    <s v="KSh 1,200"/>
    <s v="KSh 1,950"/>
    <n v="0.38"/>
    <m/>
    <m/>
    <x v="0"/>
  </r>
  <r>
    <x v="48"/>
    <s v="KSh 199"/>
    <s v="KSh 504"/>
    <n v="0.61"/>
    <m/>
    <m/>
    <x v="1"/>
  </r>
  <r>
    <x v="49"/>
    <s v="KSh 299"/>
    <s v="KSh 600"/>
    <n v="0.5"/>
    <m/>
    <m/>
    <x v="1"/>
  </r>
  <r>
    <x v="50"/>
    <s v="KSh 1,660"/>
    <s v="KSh 1,699"/>
    <n v="0.02"/>
    <m/>
    <m/>
    <x v="2"/>
  </r>
  <r>
    <x v="51"/>
    <s v="KSh 299"/>
    <s v="KSh 384"/>
    <n v="0.22"/>
    <m/>
    <m/>
    <x v="0"/>
  </r>
  <r>
    <x v="52"/>
    <s v="KSh 1,459"/>
    <s v="KSh 1,499"/>
    <n v="0.03"/>
    <m/>
    <m/>
    <x v="2"/>
  </r>
  <r>
    <x v="53"/>
    <s v="KSh 799"/>
    <s v="KSh 1,343"/>
    <n v="0.41"/>
    <m/>
    <m/>
    <x v="1"/>
  </r>
  <r>
    <x v="54"/>
    <s v="KSh 499"/>
    <s v="KSh 900"/>
    <n v="0.45"/>
    <m/>
    <m/>
    <x v="1"/>
  </r>
  <r>
    <x v="55"/>
    <s v="KSh 699"/>
    <s v="KSh 1,343"/>
    <n v="0.48"/>
    <m/>
    <m/>
    <x v="1"/>
  </r>
  <r>
    <x v="56"/>
    <s v="KSh 799"/>
    <s v="KSh 1,567"/>
    <n v="0.49"/>
    <m/>
    <m/>
    <x v="1"/>
  </r>
  <r>
    <x v="57"/>
    <s v="KSh 2,799"/>
    <s v="KSh 3,810"/>
    <n v="0.27"/>
    <m/>
    <m/>
    <x v="0"/>
  </r>
  <r>
    <x v="54"/>
    <s v="KSh 399"/>
    <s v="KSh 896"/>
    <n v="0.55000000000000004"/>
    <m/>
    <m/>
    <x v="1"/>
  </r>
  <r>
    <x v="58"/>
    <s v="KSh 2,170"/>
    <s v="KSh 2,500"/>
    <n v="0.13"/>
    <n v="-6"/>
    <s v="2.5 out of 5"/>
    <x v="2"/>
  </r>
  <r>
    <x v="59"/>
    <s v="KSh 458"/>
    <s v="KSh 986"/>
    <n v="0.54"/>
    <n v="-10"/>
    <s v="3 out of 5"/>
    <x v="1"/>
  </r>
  <r>
    <x v="60"/>
    <s v="KSh 2,115"/>
    <s v="KSh 4,700"/>
    <n v="0.55000000000000004"/>
    <n v="-13"/>
    <s v="2.1 out of 5"/>
    <x v="1"/>
  </r>
  <r>
    <x v="61"/>
    <s v="KSh 445"/>
    <s v="KSh 873"/>
    <n v="0.49"/>
    <n v="-69"/>
    <s v="2.8 out of 5"/>
    <x v="1"/>
  </r>
  <r>
    <x v="62"/>
    <s v="KSh 325"/>
    <s v="KSh 680"/>
    <n v="0.52"/>
    <n v="-15"/>
    <s v="2.7 out of 5"/>
    <x v="1"/>
  </r>
  <r>
    <x v="63"/>
    <s v="KSh 1,220"/>
    <s v="KSh 1,555"/>
    <n v="0.22"/>
    <n v="-16"/>
    <s v="2.9 out of 5"/>
    <x v="0"/>
  </r>
  <r>
    <x v="64"/>
    <s v="KSh 990"/>
    <s v="KSh 1,814"/>
    <n v="0.45"/>
    <n v="-6"/>
    <s v="2.2 out of 5"/>
    <x v="1"/>
  </r>
  <r>
    <x v="65"/>
    <s v="KSh 1,000"/>
    <s v="KSh 2,000"/>
    <n v="0.5"/>
    <n v="-7"/>
    <s v="2.3 out of 5"/>
    <x v="1"/>
  </r>
  <r>
    <x v="66"/>
    <s v="KSh 3,750"/>
    <s v="KSh 6,143"/>
    <n v="0.39"/>
    <n v="-5"/>
    <s v="3 out of 5"/>
    <x v="0"/>
  </r>
  <r>
    <x v="67"/>
    <s v="KSh 382"/>
    <s v="KSh 700"/>
    <n v="0.45"/>
    <n v="-17"/>
    <s v="2.6 out of 5"/>
    <x v="1"/>
  </r>
  <r>
    <x v="68"/>
    <s v="KSh 2,300"/>
    <s v="KSh 3,240"/>
    <n v="0.28999999999999998"/>
    <n v="-5"/>
    <s v="3 out of 5"/>
    <x v="0"/>
  </r>
  <r>
    <x v="69"/>
    <s v="KSh 345"/>
    <s v="KSh 602"/>
    <n v="0.43"/>
    <n v="-6"/>
    <s v="2.3 out of 5"/>
    <x v="1"/>
  </r>
  <r>
    <x v="70"/>
    <s v="KSh 509"/>
    <s v="KSh 899"/>
    <n v="0.43"/>
    <n v="-5"/>
    <s v="3 out of 5"/>
    <x v="1"/>
  </r>
  <r>
    <x v="71"/>
    <s v="KSh 968"/>
    <s v="KSh 1,814"/>
    <n v="0.47"/>
    <n v="-6"/>
    <s v="2.2 out of 5"/>
    <x v="1"/>
  </r>
  <r>
    <x v="72"/>
    <s v="KSh 1,570"/>
    <s v="KSh 2,988"/>
    <n v="0.47"/>
    <n v="-7"/>
    <s v="2.1 out of 5"/>
    <x v="1"/>
  </r>
  <r>
    <x v="73"/>
    <s v="KSh 790"/>
    <s v="KSh 1,485"/>
    <n v="0.47"/>
    <m/>
    <m/>
    <x v="1"/>
  </r>
  <r>
    <x v="74"/>
    <s v="KSh 690"/>
    <s v="KSh 1,200"/>
    <n v="0.43"/>
    <m/>
    <m/>
    <x v="1"/>
  </r>
  <r>
    <x v="75"/>
    <s v="KSh 1,732"/>
    <s v="KSh 1,799"/>
    <n v="0.04"/>
    <m/>
    <m/>
    <x v="2"/>
  </r>
  <r>
    <x v="76"/>
    <s v="KSh 230"/>
    <s v="KSh 450"/>
    <n v="0.49"/>
    <m/>
    <m/>
    <x v="1"/>
  </r>
  <r>
    <x v="77"/>
    <s v="KSh 1,189"/>
    <s v="KSh 2,199"/>
    <n v="0.46"/>
    <n v="-1"/>
    <s v="3 out of 5"/>
    <x v="1"/>
  </r>
  <r>
    <x v="78"/>
    <s v="KSh 979"/>
    <s v="KSh 1,920"/>
    <n v="0.49"/>
    <n v="-1"/>
    <s v="5 out of 5"/>
    <x v="1"/>
  </r>
  <r>
    <x v="79"/>
    <s v="KSh 1,460"/>
    <s v="KSh 2,290"/>
    <n v="0.36"/>
    <m/>
    <m/>
    <x v="0"/>
  </r>
  <r>
    <x v="80"/>
    <s v="KSh 1,666"/>
    <s v="KSh 1,699"/>
    <n v="0.02"/>
    <m/>
    <m/>
    <x v="2"/>
  </r>
  <r>
    <x v="81"/>
    <s v="KSh 330"/>
    <s v="KSh 647"/>
    <n v="0.49"/>
    <n v="-1"/>
    <s v="4 out of 5"/>
    <x v="1"/>
  </r>
  <r>
    <x v="48"/>
    <s v="KSh 176"/>
    <s v="KSh 345"/>
    <n v="0.49"/>
    <m/>
    <m/>
    <x v="1"/>
  </r>
  <r>
    <x v="82"/>
    <s v="KSh 1,466"/>
    <s v="KSh 1,699"/>
    <n v="0.14000000000000001"/>
    <m/>
    <m/>
    <x v="2"/>
  </r>
  <r>
    <x v="83"/>
    <s v="KSh 274"/>
    <s v="KSh 537"/>
    <n v="0.49"/>
    <m/>
    <m/>
    <x v="1"/>
  </r>
  <r>
    <x v="84"/>
    <s v="KSh 799"/>
    <s v="KSh 900"/>
    <n v="0.11"/>
    <m/>
    <m/>
    <x v="2"/>
  </r>
  <r>
    <x v="56"/>
    <s v="KSh 657"/>
    <s v="KSh 1,288"/>
    <n v="0.49"/>
    <m/>
    <m/>
    <x v="1"/>
  </r>
  <r>
    <x v="85"/>
    <s v="KSh 1,468"/>
    <s v="KSh 1,699"/>
    <n v="0.14000000000000001"/>
    <m/>
    <m/>
    <x v="2"/>
  </r>
  <r>
    <x v="86"/>
    <s v="KSh 630"/>
    <s v="KSh 1,100"/>
    <n v="0.43"/>
    <m/>
    <m/>
    <x v="1"/>
  </r>
  <r>
    <x v="87"/>
    <s v="KSh 850"/>
    <s v="KSh 1,700"/>
    <n v="0.5"/>
    <m/>
    <m/>
    <x v="1"/>
  </r>
  <r>
    <x v="88"/>
    <s v="KSh 1,300"/>
    <s v="KSh 2,500"/>
    <n v="0.48"/>
    <m/>
    <m/>
    <x v="1"/>
  </r>
  <r>
    <x v="89"/>
    <s v="KSh 105"/>
    <s v="KSh 200"/>
    <n v="0.48"/>
    <m/>
    <m/>
    <x v="1"/>
  </r>
  <r>
    <x v="90"/>
    <s v="KSh 899"/>
    <s v="KSh 1,699"/>
    <n v="0.47"/>
    <m/>
    <m/>
    <x v="1"/>
  </r>
  <r>
    <x v="91"/>
    <s v="KSh 1,200"/>
    <s v="KSh 2,400"/>
    <n v="0.5"/>
    <m/>
    <m/>
    <x v="1"/>
  </r>
  <r>
    <x v="92"/>
    <s v="KSh 1,526"/>
    <s v="KSh 1,660"/>
    <n v="0.08"/>
    <m/>
    <m/>
    <x v="2"/>
  </r>
  <r>
    <x v="93"/>
    <s v="KSh 1,462"/>
    <s v="KSh 1,499"/>
    <n v="0.02"/>
    <m/>
    <m/>
    <x v="2"/>
  </r>
  <r>
    <x v="94"/>
    <s v="KSh 248"/>
    <s v="KSh 486"/>
    <n v="0.49"/>
    <m/>
    <m/>
    <x v="1"/>
  </r>
  <r>
    <x v="95"/>
    <s v="KSh 3,546"/>
    <s v="KSh 3,699"/>
    <n v="0.04"/>
    <m/>
    <m/>
    <x v="2"/>
  </r>
  <r>
    <x v="96"/>
    <s v="KSh 525"/>
    <s v="KSh 1,029"/>
    <n v="0.49"/>
    <m/>
    <m/>
    <x v="1"/>
  </r>
  <r>
    <x v="97"/>
    <s v="KSh 1,080"/>
    <s v="KSh 1,874"/>
    <n v="0.42"/>
    <m/>
    <m/>
    <x v="1"/>
  </r>
  <r>
    <x v="98"/>
    <s v="KSh 3,640"/>
    <s v="KSh 4,588"/>
    <n v="0.21"/>
    <n v="-1"/>
    <s v="5 out of 5"/>
    <x v="0"/>
  </r>
  <r>
    <x v="99"/>
    <s v="KSh 1,420"/>
    <s v="KSh 2,420"/>
    <n v="0.41"/>
    <m/>
    <m/>
    <x v="1"/>
  </r>
  <r>
    <x v="100"/>
    <s v="KSh 1,875"/>
    <s v="KSh 1,899"/>
    <n v="0.01"/>
    <m/>
    <m/>
    <x v="2"/>
  </r>
  <r>
    <x v="101"/>
    <s v="KSh 198"/>
    <s v="KSh 260"/>
    <n v="0.24"/>
    <m/>
    <m/>
    <x v="0"/>
  </r>
  <r>
    <x v="102"/>
    <s v="KSh 1,150"/>
    <s v="KSh 1,737"/>
    <n v="0.34"/>
    <m/>
    <m/>
    <x v="0"/>
  </r>
  <r>
    <x v="103"/>
    <s v="KSh 1,190"/>
    <s v="KSh 1,810"/>
    <n v="0.34"/>
    <m/>
    <m/>
    <x v="0"/>
  </r>
  <r>
    <x v="104"/>
    <s v="KSh 1,658"/>
    <s v="KSh 1,699"/>
    <n v="0.02"/>
    <m/>
    <m/>
    <x v="2"/>
  </r>
  <r>
    <x v="105"/>
    <s v="KSh 1,768"/>
    <s v="KSh 1,799"/>
    <n v="0.02"/>
    <m/>
    <m/>
    <x v="2"/>
  </r>
  <r>
    <x v="106"/>
    <s v="KSh 199"/>
    <s v="KSh 553"/>
    <n v="0.64"/>
    <m/>
    <m/>
    <x v="1"/>
  </r>
  <r>
    <x v="107"/>
    <s v="KSh 450"/>
    <s v="KSh 900"/>
    <n v="0.5"/>
    <n v="-1"/>
    <s v="2 out of 5"/>
    <x v="1"/>
  </r>
  <r>
    <x v="108"/>
    <s v="KSh 169"/>
    <s v="KSh 320"/>
    <n v="0.47"/>
    <m/>
    <m/>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s v="KSh 1,525"/>
    <n v="0.38"/>
    <n v="-2"/>
    <s v="4.5 out of 5"/>
    <x v="0"/>
    <n v="2"/>
    <x v="0"/>
    <n v="950"/>
    <n v="1525"/>
    <n v="575"/>
    <x v="0"/>
    <s v="Medium Discount"/>
  </r>
  <r>
    <x v="1"/>
    <n v="527"/>
    <s v="KSh 999"/>
    <n v="0.47"/>
    <n v="-14"/>
    <s v="4.1 out of 5"/>
    <x v="1"/>
    <n v="14"/>
    <x v="1"/>
    <n v="527"/>
    <n v="999"/>
    <n v="472"/>
    <x v="1"/>
    <s v="High Discount"/>
  </r>
  <r>
    <x v="2"/>
    <n v="2199"/>
    <s v="KSh 2,923"/>
    <n v="0.25"/>
    <n v="-24"/>
    <s v="4.6 out of 5"/>
    <x v="0"/>
    <n v="24"/>
    <x v="2"/>
    <n v="2199"/>
    <n v="2923"/>
    <n v="724"/>
    <x v="0"/>
    <s v="Medium Discount"/>
  </r>
  <r>
    <x v="3"/>
    <n v="1580"/>
    <s v="KSh 2,499"/>
    <n v="0.37"/>
    <n v="-7"/>
    <s v="4.7 out of 5"/>
    <x v="0"/>
    <n v="7"/>
    <x v="3"/>
    <n v="1580"/>
    <n v="2499"/>
    <n v="919"/>
    <x v="0"/>
    <s v="Medium Discount"/>
  </r>
  <r>
    <x v="4"/>
    <n v="1740"/>
    <s v="KSh 2,356"/>
    <n v="0.26"/>
    <n v="-5"/>
    <s v="4.8 out of 5"/>
    <x v="0"/>
    <n v="5"/>
    <x v="4"/>
    <n v="1740"/>
    <n v="2356"/>
    <n v="616"/>
    <x v="0"/>
    <s v="Medium Discount"/>
  </r>
  <r>
    <x v="5"/>
    <n v="2999"/>
    <s v="KSh 3,290"/>
    <n v="0.09"/>
    <n v="-15"/>
    <s v="4 out of 5"/>
    <x v="2"/>
    <n v="15"/>
    <x v="5"/>
    <n v="2999"/>
    <n v="3290"/>
    <n v="291"/>
    <x v="1"/>
    <s v="Low Discount"/>
  </r>
  <r>
    <x v="6"/>
    <n v="2319"/>
    <s v="KSh 3,032"/>
    <n v="0.24"/>
    <n v="-55"/>
    <s v="4.6 out of 5"/>
    <x v="0"/>
    <n v="55"/>
    <x v="2"/>
    <n v="2319"/>
    <n v="3032"/>
    <n v="713"/>
    <x v="0"/>
    <s v="Medium Discount"/>
  </r>
  <r>
    <x v="7"/>
    <n v="988"/>
    <s v="KSh 1,580"/>
    <n v="0.37"/>
    <n v="-2"/>
    <s v="4 out of 5"/>
    <x v="0"/>
    <n v="2"/>
    <x v="5"/>
    <n v="988"/>
    <n v="1580"/>
    <n v="592"/>
    <x v="1"/>
    <s v="Medium Discount"/>
  </r>
  <r>
    <x v="8"/>
    <n v="1274"/>
    <s v="KSh 2,800"/>
    <n v="0.55000000000000004"/>
    <n v="-5"/>
    <s v="4.8 out of 5"/>
    <x v="1"/>
    <n v="5"/>
    <x v="4"/>
    <n v="1274"/>
    <n v="2800"/>
    <n v="1526"/>
    <x v="0"/>
    <s v="High Discount"/>
  </r>
  <r>
    <x v="9"/>
    <n v="1600"/>
    <s v="KSh 2,929"/>
    <n v="0.45"/>
    <n v="-5"/>
    <s v="3.8 out of 5"/>
    <x v="1"/>
    <n v="5"/>
    <x v="6"/>
    <n v="1600"/>
    <n v="2929"/>
    <n v="1329"/>
    <x v="1"/>
    <s v="High Discount"/>
  </r>
  <r>
    <x v="10"/>
    <n v="799"/>
    <s v="KSh 999"/>
    <n v="0.2"/>
    <n v="-12"/>
    <s v="4.1 out of 5"/>
    <x v="0"/>
    <n v="12"/>
    <x v="1"/>
    <n v="799"/>
    <n v="999"/>
    <n v="200"/>
    <x v="1"/>
    <s v="Medium Discount"/>
  </r>
  <r>
    <x v="11"/>
    <n v="990"/>
    <s v="KSh 1,500"/>
    <n v="0.34"/>
    <n v="-39"/>
    <s v="4.7 out of 5"/>
    <x v="0"/>
    <n v="39"/>
    <x v="3"/>
    <n v="990"/>
    <n v="1500"/>
    <n v="510"/>
    <x v="0"/>
    <s v="Medium Discount"/>
  </r>
  <r>
    <x v="12"/>
    <n v="552"/>
    <s v="KSh 1,035"/>
    <n v="0.47"/>
    <n v="-12"/>
    <s v="4.8 out of 5"/>
    <x v="1"/>
    <n v="12"/>
    <x v="4"/>
    <n v="552"/>
    <n v="1035"/>
    <n v="483"/>
    <x v="0"/>
    <s v="High Discount"/>
  </r>
  <r>
    <x v="13"/>
    <n v="501"/>
    <s v="KSh 860"/>
    <n v="0.42"/>
    <n v="-6"/>
    <s v="4.5 out of 5"/>
    <x v="1"/>
    <n v="6"/>
    <x v="0"/>
    <n v="501"/>
    <n v="860"/>
    <n v="359"/>
    <x v="0"/>
    <s v="High Discount"/>
  </r>
  <r>
    <x v="14"/>
    <n v="1680"/>
    <s v="KSh 2,499"/>
    <n v="0.33"/>
    <n v="-9"/>
    <s v="4.2 out of 5"/>
    <x v="0"/>
    <n v="9"/>
    <x v="7"/>
    <n v="1680"/>
    <n v="2499"/>
    <n v="819"/>
    <x v="1"/>
    <s v="Medium Discount"/>
  </r>
  <r>
    <x v="15"/>
    <n v="332"/>
    <s v="KSh 684"/>
    <n v="0.51"/>
    <n v="-2"/>
    <s v="5 out of 5"/>
    <x v="1"/>
    <n v="2"/>
    <x v="8"/>
    <n v="332"/>
    <n v="684"/>
    <n v="352"/>
    <x v="0"/>
    <s v="High Discount"/>
  </r>
  <r>
    <x v="16"/>
    <n v="195"/>
    <s v="KSh 360"/>
    <n v="0.46"/>
    <n v="-2"/>
    <s v="5 out of 5"/>
    <x v="1"/>
    <n v="2"/>
    <x v="8"/>
    <n v="195"/>
    <n v="360"/>
    <n v="165"/>
    <x v="0"/>
    <s v="High Discount"/>
  </r>
  <r>
    <x v="17"/>
    <n v="2025"/>
    <s v="KSh 3,971"/>
    <n v="0.49"/>
    <n v="-3"/>
    <s v="5 out of 5"/>
    <x v="1"/>
    <n v="3"/>
    <x v="8"/>
    <n v="2025"/>
    <n v="3971"/>
    <n v="1946"/>
    <x v="0"/>
    <s v="High Discount"/>
  </r>
  <r>
    <x v="18"/>
    <n v="2999"/>
    <s v="KSh 3,699"/>
    <n v="0.19"/>
    <n v="-5"/>
    <s v="4.6 out of 5"/>
    <x v="2"/>
    <n v="5"/>
    <x v="2"/>
    <n v="2999"/>
    <n v="3699"/>
    <n v="700"/>
    <x v="0"/>
    <s v="Low Discount"/>
  </r>
  <r>
    <x v="19"/>
    <n v="998"/>
    <s v="KSh 1,966"/>
    <n v="0.49"/>
    <n v="-44"/>
    <s v="4.6 out of 5"/>
    <x v="1"/>
    <n v="44"/>
    <x v="2"/>
    <n v="998"/>
    <n v="1966"/>
    <n v="968"/>
    <x v="0"/>
    <s v="High Discount"/>
  </r>
  <r>
    <x v="20"/>
    <n v="38"/>
    <s v="KSh 80"/>
    <n v="0.53"/>
    <n v="-13"/>
    <s v="3.3 out of 5"/>
    <x v="1"/>
    <n v="13"/>
    <x v="9"/>
    <n v="38"/>
    <n v="80"/>
    <n v="42"/>
    <x v="1"/>
    <s v="High Discount"/>
  </r>
  <r>
    <x v="21"/>
    <n v="1860"/>
    <s v="KSh 3,220"/>
    <n v="0.42"/>
    <m/>
    <m/>
    <x v="1"/>
    <n v="0"/>
    <x v="10"/>
    <n v="1860"/>
    <n v="3220"/>
    <n v="1360"/>
    <x v="0"/>
    <s v="High Discount"/>
  </r>
  <r>
    <x v="22"/>
    <n v="880"/>
    <s v="KSh 1,350"/>
    <n v="0.35"/>
    <n v="-6"/>
    <s v="4 out of 5"/>
    <x v="0"/>
    <n v="6"/>
    <x v="5"/>
    <n v="880"/>
    <n v="1350"/>
    <n v="470"/>
    <x v="1"/>
    <s v="Medium Discount"/>
  </r>
  <r>
    <x v="23"/>
    <n v="1650"/>
    <s v="KSh 2,150"/>
    <n v="0.23"/>
    <n v="-14"/>
    <s v="4.4 out of 5"/>
    <x v="0"/>
    <n v="14"/>
    <x v="11"/>
    <n v="1650"/>
    <n v="2150"/>
    <n v="500"/>
    <x v="1"/>
    <s v="Medium Discount"/>
  </r>
  <r>
    <x v="24"/>
    <n v="2048"/>
    <s v="KSh 4,500"/>
    <n v="0.54"/>
    <n v="-7"/>
    <s v="4.3 out of 5"/>
    <x v="1"/>
    <n v="7"/>
    <x v="12"/>
    <n v="2048"/>
    <n v="4500"/>
    <n v="2452"/>
    <x v="1"/>
    <s v="High Discount"/>
  </r>
  <r>
    <x v="25"/>
    <n v="420"/>
    <s v="KSh 647"/>
    <n v="0.35"/>
    <n v="-49"/>
    <s v="4.6 out of 5"/>
    <x v="0"/>
    <n v="49"/>
    <x v="2"/>
    <n v="420"/>
    <n v="647"/>
    <n v="227"/>
    <x v="0"/>
    <s v="Medium Discount"/>
  </r>
  <r>
    <x v="26"/>
    <n v="2880"/>
    <s v="KSh 3,520"/>
    <n v="0.18"/>
    <n v="-12"/>
    <s v="3.8 out of 5"/>
    <x v="2"/>
    <n v="12"/>
    <x v="6"/>
    <n v="2880"/>
    <n v="3520"/>
    <n v="640"/>
    <x v="1"/>
    <s v="Low Discount"/>
  </r>
  <r>
    <x v="27"/>
    <n v="1350"/>
    <s v="KSh 1,990"/>
    <n v="0.32"/>
    <n v="-13"/>
    <s v="3.8 out of 5"/>
    <x v="0"/>
    <n v="13"/>
    <x v="6"/>
    <n v="1350"/>
    <n v="1990"/>
    <n v="640"/>
    <x v="1"/>
    <s v="Medium Discount"/>
  </r>
  <r>
    <x v="28"/>
    <n v="1758"/>
    <s v="KSh 2,499"/>
    <n v="0.3"/>
    <n v="-20"/>
    <s v="4.1 out of 5"/>
    <x v="0"/>
    <n v="20"/>
    <x v="1"/>
    <n v="1758"/>
    <n v="2499"/>
    <n v="741"/>
    <x v="1"/>
    <s v="Medium Discount"/>
  </r>
  <r>
    <x v="29"/>
    <n v="2200"/>
    <s v="KSh 4,080"/>
    <n v="0.46"/>
    <m/>
    <m/>
    <x v="1"/>
    <n v="0"/>
    <x v="10"/>
    <n v="2200"/>
    <n v="4080"/>
    <n v="1880"/>
    <x v="0"/>
    <s v="High Discount"/>
  </r>
  <r>
    <x v="30"/>
    <n v="185"/>
    <s v="KSh 382"/>
    <n v="0.52"/>
    <n v="-9"/>
    <s v="4.3 out of 5"/>
    <x v="1"/>
    <n v="9"/>
    <x v="12"/>
    <n v="185"/>
    <n v="382"/>
    <n v="197"/>
    <x v="1"/>
    <s v="High Discount"/>
  </r>
  <r>
    <x v="31"/>
    <n v="980"/>
    <s v="KSh 1,490"/>
    <n v="0.34"/>
    <n v="-12"/>
    <s v="4.7 out of 5"/>
    <x v="0"/>
    <n v="12"/>
    <x v="3"/>
    <n v="980"/>
    <n v="1490"/>
    <n v="510"/>
    <x v="0"/>
    <s v="Medium Discount"/>
  </r>
  <r>
    <x v="32"/>
    <n v="1820"/>
    <s v="KSh 3,490"/>
    <n v="0.48"/>
    <n v="-9"/>
    <s v="4.3 out of 5"/>
    <x v="1"/>
    <n v="9"/>
    <x v="12"/>
    <n v="1820"/>
    <n v="3490"/>
    <n v="1670"/>
    <x v="1"/>
    <s v="High Discount"/>
  </r>
  <r>
    <x v="33"/>
    <n v="1940"/>
    <s v="KSh 2,650"/>
    <n v="0.27"/>
    <n v="-20"/>
    <s v="4.7 out of 5"/>
    <x v="0"/>
    <n v="20"/>
    <x v="3"/>
    <n v="1940"/>
    <n v="2650"/>
    <n v="710"/>
    <x v="0"/>
    <s v="Medium Discount"/>
  </r>
  <r>
    <x v="34"/>
    <n v="1980"/>
    <s v="KSh 2,699"/>
    <n v="0.27"/>
    <n v="-32"/>
    <s v="4.5 out of 5"/>
    <x v="0"/>
    <n v="32"/>
    <x v="0"/>
    <n v="1980"/>
    <n v="2699"/>
    <n v="719"/>
    <x v="0"/>
    <s v="Medium Discount"/>
  </r>
  <r>
    <x v="35"/>
    <n v="1620"/>
    <s v="KSh 2,690"/>
    <n v="0.4"/>
    <n v="-1"/>
    <s v="5 out of 5"/>
    <x v="0"/>
    <n v="1"/>
    <x v="8"/>
    <n v="1620"/>
    <n v="2690"/>
    <n v="1070"/>
    <x v="0"/>
    <s v="Medium Discount"/>
  </r>
  <r>
    <x v="36"/>
    <n v="171"/>
    <s v="KSh 360"/>
    <n v="0.53"/>
    <n v="-2"/>
    <s v="5 out of 5"/>
    <x v="1"/>
    <n v="2"/>
    <x v="8"/>
    <n v="171"/>
    <n v="360"/>
    <n v="189"/>
    <x v="0"/>
    <s v="High Discount"/>
  </r>
  <r>
    <x v="37"/>
    <n v="389"/>
    <s v="KSh 656"/>
    <n v="0.41"/>
    <n v="-36"/>
    <s v="4.3 out of 5"/>
    <x v="1"/>
    <n v="36"/>
    <x v="12"/>
    <n v="389"/>
    <n v="656"/>
    <n v="267"/>
    <x v="1"/>
    <s v="High Discount"/>
  </r>
  <r>
    <x v="38"/>
    <n v="1800"/>
    <s v="KSh 2,700"/>
    <n v="0.38"/>
    <n v="-2"/>
    <s v="4.5 out of 5"/>
    <x v="0"/>
    <n v="2"/>
    <x v="0"/>
    <n v="1800"/>
    <n v="2700"/>
    <n v="900"/>
    <x v="0"/>
    <s v="Medium Discount"/>
  </r>
  <r>
    <x v="39"/>
    <n v="2750"/>
    <s v="KSh 4,471"/>
    <n v="0.38"/>
    <m/>
    <m/>
    <x v="0"/>
    <n v="0"/>
    <x v="10"/>
    <n v="2750"/>
    <n v="4471"/>
    <n v="1721"/>
    <x v="0"/>
    <s v="Medium Discount"/>
  </r>
  <r>
    <x v="40"/>
    <n v="475"/>
    <s v="KSh 931"/>
    <n v="0.49"/>
    <m/>
    <m/>
    <x v="1"/>
    <n v="0"/>
    <x v="10"/>
    <n v="475"/>
    <n v="931"/>
    <n v="456"/>
    <x v="0"/>
    <s v="High Discount"/>
  </r>
  <r>
    <x v="41"/>
    <n v="238"/>
    <s v="KSh 476"/>
    <n v="0.5"/>
    <m/>
    <m/>
    <x v="1"/>
    <n v="0"/>
    <x v="10"/>
    <n v="238"/>
    <n v="476"/>
    <n v="238"/>
    <x v="0"/>
    <s v="High Discount"/>
  </r>
  <r>
    <x v="42"/>
    <n v="610"/>
    <s v="KSh 1,060"/>
    <n v="0.42"/>
    <m/>
    <m/>
    <x v="1"/>
    <n v="0"/>
    <x v="10"/>
    <n v="610"/>
    <n v="1060"/>
    <n v="450"/>
    <x v="0"/>
    <s v="High Discount"/>
  </r>
  <r>
    <x v="43"/>
    <n v="2132"/>
    <s v="KSh 2,169"/>
    <n v="0.02"/>
    <m/>
    <m/>
    <x v="2"/>
    <n v="0"/>
    <x v="10"/>
    <n v="2132"/>
    <n v="2169"/>
    <n v="37"/>
    <x v="0"/>
    <s v="Low Discount"/>
  </r>
  <r>
    <x v="44"/>
    <n v="999"/>
    <s v="KSh 2,000"/>
    <n v="0.5"/>
    <m/>
    <m/>
    <x v="1"/>
    <n v="0"/>
    <x v="10"/>
    <n v="999"/>
    <n v="2000"/>
    <n v="1001"/>
    <x v="0"/>
    <s v="High Discount"/>
  </r>
  <r>
    <x v="45"/>
    <n v="1190"/>
    <s v="KSh 1,785"/>
    <n v="0.33"/>
    <m/>
    <m/>
    <x v="0"/>
    <n v="0"/>
    <x v="10"/>
    <n v="1190"/>
    <n v="1785"/>
    <n v="595"/>
    <x v="0"/>
    <s v="Medium Discount"/>
  </r>
  <r>
    <x v="46"/>
    <n v="671"/>
    <s v="KSh 1,316"/>
    <n v="0.49"/>
    <m/>
    <m/>
    <x v="1"/>
    <n v="0"/>
    <x v="10"/>
    <n v="671"/>
    <n v="1316"/>
    <n v="645"/>
    <x v="0"/>
    <s v="High Discount"/>
  </r>
  <r>
    <x v="47"/>
    <n v="1200"/>
    <s v="KSh 1,950"/>
    <n v="0.38"/>
    <m/>
    <m/>
    <x v="0"/>
    <n v="0"/>
    <x v="10"/>
    <n v="1200"/>
    <n v="1950"/>
    <n v="750"/>
    <x v="0"/>
    <s v="Medium Discount"/>
  </r>
  <r>
    <x v="48"/>
    <n v="199"/>
    <s v="KSh 504"/>
    <n v="0.61"/>
    <m/>
    <m/>
    <x v="1"/>
    <n v="0"/>
    <x v="10"/>
    <n v="199"/>
    <n v="504"/>
    <n v="305"/>
    <x v="0"/>
    <s v="High Discount"/>
  </r>
  <r>
    <x v="49"/>
    <n v="299"/>
    <s v="KSh 600"/>
    <n v="0.5"/>
    <m/>
    <m/>
    <x v="1"/>
    <n v="0"/>
    <x v="10"/>
    <n v="299"/>
    <n v="600"/>
    <n v="301"/>
    <x v="0"/>
    <s v="High Discount"/>
  </r>
  <r>
    <x v="50"/>
    <n v="1660"/>
    <s v="KSh 1,699"/>
    <n v="0.02"/>
    <m/>
    <m/>
    <x v="2"/>
    <n v="0"/>
    <x v="10"/>
    <n v="1660"/>
    <n v="1699"/>
    <n v="39"/>
    <x v="0"/>
    <s v="Low Discount"/>
  </r>
  <r>
    <x v="51"/>
    <n v="299"/>
    <s v="KSh 384"/>
    <n v="0.22"/>
    <m/>
    <m/>
    <x v="0"/>
    <n v="0"/>
    <x v="10"/>
    <n v="299"/>
    <n v="384"/>
    <n v="85"/>
    <x v="0"/>
    <s v="Medium Discount"/>
  </r>
  <r>
    <x v="52"/>
    <n v="1459"/>
    <s v="KSh 1,499"/>
    <n v="0.03"/>
    <m/>
    <m/>
    <x v="2"/>
    <n v="0"/>
    <x v="10"/>
    <n v="1459"/>
    <n v="1499"/>
    <n v="40"/>
    <x v="0"/>
    <s v="Low Discount"/>
  </r>
  <r>
    <x v="53"/>
    <n v="799"/>
    <s v="KSh 1,343"/>
    <n v="0.41"/>
    <m/>
    <m/>
    <x v="1"/>
    <n v="0"/>
    <x v="10"/>
    <n v="799"/>
    <n v="1343"/>
    <n v="544"/>
    <x v="0"/>
    <s v="High Discount"/>
  </r>
  <r>
    <x v="54"/>
    <n v="499"/>
    <s v="KSh 900"/>
    <n v="0.45"/>
    <m/>
    <m/>
    <x v="1"/>
    <n v="0"/>
    <x v="10"/>
    <n v="499"/>
    <n v="900"/>
    <n v="401"/>
    <x v="0"/>
    <s v="High Discount"/>
  </r>
  <r>
    <x v="55"/>
    <n v="699"/>
    <s v="KSh 1,343"/>
    <n v="0.48"/>
    <m/>
    <m/>
    <x v="1"/>
    <n v="0"/>
    <x v="10"/>
    <n v="699"/>
    <n v="1343"/>
    <n v="644"/>
    <x v="0"/>
    <s v="High Discount"/>
  </r>
  <r>
    <x v="56"/>
    <n v="799"/>
    <s v="KSh 1,567"/>
    <n v="0.49"/>
    <m/>
    <m/>
    <x v="1"/>
    <n v="0"/>
    <x v="10"/>
    <n v="799"/>
    <n v="1567"/>
    <n v="768"/>
    <x v="0"/>
    <s v="High Discount"/>
  </r>
  <r>
    <x v="57"/>
    <n v="2799"/>
    <s v="KSh 3,810"/>
    <n v="0.27"/>
    <m/>
    <m/>
    <x v="0"/>
    <n v="0"/>
    <x v="10"/>
    <n v="2799"/>
    <n v="3810"/>
    <n v="1011"/>
    <x v="0"/>
    <s v="Medium Discount"/>
  </r>
  <r>
    <x v="54"/>
    <n v="399"/>
    <s v="KSh 896"/>
    <n v="0.55000000000000004"/>
    <m/>
    <m/>
    <x v="1"/>
    <n v="0"/>
    <x v="10"/>
    <n v="399"/>
    <n v="896"/>
    <n v="497"/>
    <x v="0"/>
    <s v="High Discount"/>
  </r>
  <r>
    <x v="58"/>
    <n v="2170"/>
    <s v="KSh 2,500"/>
    <n v="0.13"/>
    <n v="-6"/>
    <s v="2.5 out of 5"/>
    <x v="2"/>
    <n v="6"/>
    <x v="13"/>
    <n v="2170"/>
    <n v="2500"/>
    <n v="330"/>
    <x v="2"/>
    <s v="Low Discount"/>
  </r>
  <r>
    <x v="59"/>
    <n v="458"/>
    <s v="KSh 986"/>
    <n v="0.54"/>
    <n v="-10"/>
    <s v="3 out of 5"/>
    <x v="1"/>
    <n v="10"/>
    <x v="14"/>
    <n v="458"/>
    <n v="986"/>
    <n v="528"/>
    <x v="1"/>
    <s v="High Discount"/>
  </r>
  <r>
    <x v="60"/>
    <n v="2115"/>
    <s v="KSh 4,700"/>
    <n v="0.55000000000000004"/>
    <n v="-13"/>
    <s v="2.1 out of 5"/>
    <x v="1"/>
    <n v="13"/>
    <x v="15"/>
    <n v="2115"/>
    <n v="4700"/>
    <n v="2585"/>
    <x v="2"/>
    <s v="High Discount"/>
  </r>
  <r>
    <x v="61"/>
    <n v="445"/>
    <s v="KSh 873"/>
    <n v="0.49"/>
    <n v="-69"/>
    <s v="2.8 out of 5"/>
    <x v="1"/>
    <n v="69"/>
    <x v="16"/>
    <n v="445"/>
    <n v="873"/>
    <n v="428"/>
    <x v="2"/>
    <s v="High Discount"/>
  </r>
  <r>
    <x v="62"/>
    <n v="325"/>
    <s v="KSh 680"/>
    <n v="0.52"/>
    <n v="-15"/>
    <s v="2.7 out of 5"/>
    <x v="1"/>
    <n v="15"/>
    <x v="17"/>
    <n v="325"/>
    <n v="680"/>
    <n v="355"/>
    <x v="2"/>
    <s v="High Discount"/>
  </r>
  <r>
    <x v="63"/>
    <n v="1220"/>
    <s v="KSh 1,555"/>
    <n v="0.22"/>
    <n v="-16"/>
    <s v="2.9 out of 5"/>
    <x v="0"/>
    <n v="16"/>
    <x v="18"/>
    <n v="1220"/>
    <n v="1555"/>
    <n v="335"/>
    <x v="2"/>
    <s v="Medium Discount"/>
  </r>
  <r>
    <x v="64"/>
    <n v="990"/>
    <s v="KSh 1,814"/>
    <n v="0.45"/>
    <n v="-6"/>
    <s v="2.2 out of 5"/>
    <x v="1"/>
    <n v="6"/>
    <x v="19"/>
    <n v="990"/>
    <n v="1814"/>
    <n v="824"/>
    <x v="2"/>
    <s v="High Discount"/>
  </r>
  <r>
    <x v="65"/>
    <n v="1000"/>
    <s v="KSh 2,000"/>
    <n v="0.5"/>
    <n v="-7"/>
    <s v="2.3 out of 5"/>
    <x v="1"/>
    <n v="7"/>
    <x v="20"/>
    <n v="1000"/>
    <n v="2000"/>
    <n v="1000"/>
    <x v="2"/>
    <s v="High Discount"/>
  </r>
  <r>
    <x v="66"/>
    <n v="3750"/>
    <s v="KSh 6,143"/>
    <n v="0.39"/>
    <n v="-5"/>
    <s v="3 out of 5"/>
    <x v="0"/>
    <n v="5"/>
    <x v="14"/>
    <n v="3750"/>
    <n v="6143"/>
    <n v="2393"/>
    <x v="1"/>
    <s v="Medium Discount"/>
  </r>
  <r>
    <x v="67"/>
    <n v="382"/>
    <s v="KSh 700"/>
    <n v="0.45"/>
    <n v="-17"/>
    <s v="2.6 out of 5"/>
    <x v="1"/>
    <n v="17"/>
    <x v="21"/>
    <n v="382"/>
    <n v="700"/>
    <n v="318"/>
    <x v="2"/>
    <s v="High Discount"/>
  </r>
  <r>
    <x v="68"/>
    <n v="2300"/>
    <s v="KSh 3,240"/>
    <n v="0.28999999999999998"/>
    <n v="-5"/>
    <s v="3 out of 5"/>
    <x v="0"/>
    <n v="5"/>
    <x v="14"/>
    <n v="2300"/>
    <n v="3240"/>
    <n v="940"/>
    <x v="1"/>
    <s v="Medium Discount"/>
  </r>
  <r>
    <x v="69"/>
    <n v="345"/>
    <s v="KSh 602"/>
    <n v="0.43"/>
    <n v="-6"/>
    <s v="2.3 out of 5"/>
    <x v="1"/>
    <n v="6"/>
    <x v="20"/>
    <n v="345"/>
    <n v="602"/>
    <n v="257"/>
    <x v="2"/>
    <s v="High Discount"/>
  </r>
  <r>
    <x v="70"/>
    <n v="509"/>
    <s v="KSh 899"/>
    <n v="0.43"/>
    <n v="-5"/>
    <s v="3 out of 5"/>
    <x v="1"/>
    <n v="5"/>
    <x v="14"/>
    <n v="509"/>
    <n v="899"/>
    <n v="390"/>
    <x v="1"/>
    <s v="High Discount"/>
  </r>
  <r>
    <x v="71"/>
    <n v="968"/>
    <s v="KSh 1,814"/>
    <n v="0.47"/>
    <n v="-6"/>
    <s v="2.2 out of 5"/>
    <x v="1"/>
    <n v="6"/>
    <x v="19"/>
    <n v="968"/>
    <n v="1814"/>
    <n v="846"/>
    <x v="2"/>
    <s v="High Discount"/>
  </r>
  <r>
    <x v="72"/>
    <n v="1570"/>
    <s v="KSh 2,988"/>
    <n v="0.47"/>
    <n v="-7"/>
    <s v="2.1 out of 5"/>
    <x v="1"/>
    <n v="7"/>
    <x v="15"/>
    <n v="1570"/>
    <n v="2988"/>
    <n v="1418"/>
    <x v="2"/>
    <s v="High Discount"/>
  </r>
  <r>
    <x v="73"/>
    <n v="790"/>
    <s v="KSh 1,485"/>
    <n v="0.47"/>
    <m/>
    <m/>
    <x v="1"/>
    <n v="0"/>
    <x v="10"/>
    <n v="790"/>
    <n v="1485"/>
    <n v="695"/>
    <x v="0"/>
    <s v="High Discount"/>
  </r>
  <r>
    <x v="74"/>
    <n v="690"/>
    <s v="KSh 1,200"/>
    <n v="0.43"/>
    <m/>
    <m/>
    <x v="1"/>
    <n v="0"/>
    <x v="10"/>
    <n v="690"/>
    <n v="1200"/>
    <n v="510"/>
    <x v="0"/>
    <s v="High Discount"/>
  </r>
  <r>
    <x v="75"/>
    <n v="1732"/>
    <s v="KSh 1,799"/>
    <n v="0.04"/>
    <m/>
    <m/>
    <x v="2"/>
    <n v="0"/>
    <x v="10"/>
    <n v="1732"/>
    <n v="1799"/>
    <n v="67"/>
    <x v="0"/>
    <s v="Low Discount"/>
  </r>
  <r>
    <x v="76"/>
    <n v="230"/>
    <s v="KSh 450"/>
    <n v="0.49"/>
    <m/>
    <m/>
    <x v="1"/>
    <n v="0"/>
    <x v="10"/>
    <n v="230"/>
    <n v="450"/>
    <n v="220"/>
    <x v="0"/>
    <s v="High Discount"/>
  </r>
  <r>
    <x v="77"/>
    <n v="1189"/>
    <s v="KSh 2,199"/>
    <n v="0.46"/>
    <n v="-1"/>
    <s v="3 out of 5"/>
    <x v="1"/>
    <n v="1"/>
    <x v="14"/>
    <n v="1189"/>
    <n v="2199"/>
    <n v="1010"/>
    <x v="1"/>
    <s v="High Discount"/>
  </r>
  <r>
    <x v="78"/>
    <n v="979"/>
    <s v="KSh 1,920"/>
    <n v="0.49"/>
    <n v="-1"/>
    <s v="5 out of 5"/>
    <x v="1"/>
    <n v="1"/>
    <x v="8"/>
    <n v="979"/>
    <n v="1920"/>
    <n v="941"/>
    <x v="0"/>
    <s v="High Discount"/>
  </r>
  <r>
    <x v="79"/>
    <n v="1460"/>
    <s v="KSh 2,290"/>
    <n v="0.36"/>
    <m/>
    <m/>
    <x v="0"/>
    <n v="0"/>
    <x v="10"/>
    <n v="1460"/>
    <n v="2290"/>
    <n v="830"/>
    <x v="0"/>
    <s v="Medium Discount"/>
  </r>
  <r>
    <x v="80"/>
    <n v="1666"/>
    <s v="KSh 1,699"/>
    <n v="0.02"/>
    <m/>
    <m/>
    <x v="2"/>
    <n v="0"/>
    <x v="10"/>
    <n v="1666"/>
    <n v="1699"/>
    <n v="33"/>
    <x v="0"/>
    <s v="Low Discount"/>
  </r>
  <r>
    <x v="81"/>
    <n v="330"/>
    <s v="KSh 647"/>
    <n v="0.49"/>
    <n v="-1"/>
    <s v="4 out of 5"/>
    <x v="1"/>
    <n v="1"/>
    <x v="5"/>
    <n v="330"/>
    <n v="647"/>
    <n v="317"/>
    <x v="1"/>
    <s v="High Discount"/>
  </r>
  <r>
    <x v="48"/>
    <n v="176"/>
    <s v="KSh 345"/>
    <n v="0.49"/>
    <m/>
    <m/>
    <x v="1"/>
    <n v="0"/>
    <x v="10"/>
    <n v="176"/>
    <n v="345"/>
    <n v="169"/>
    <x v="0"/>
    <s v="High Discount"/>
  </r>
  <r>
    <x v="82"/>
    <n v="1466"/>
    <s v="KSh 1,699"/>
    <n v="0.14000000000000001"/>
    <m/>
    <m/>
    <x v="2"/>
    <n v="0"/>
    <x v="10"/>
    <n v="1466"/>
    <n v="1699"/>
    <n v="233"/>
    <x v="0"/>
    <s v="Low Discount"/>
  </r>
  <r>
    <x v="83"/>
    <n v="274"/>
    <s v="KSh 537"/>
    <n v="0.49"/>
    <m/>
    <m/>
    <x v="1"/>
    <n v="0"/>
    <x v="10"/>
    <n v="274"/>
    <n v="537"/>
    <n v="263"/>
    <x v="0"/>
    <s v="High Discount"/>
  </r>
  <r>
    <x v="84"/>
    <n v="799"/>
    <s v="KSh 900"/>
    <n v="0.11"/>
    <m/>
    <m/>
    <x v="2"/>
    <n v="0"/>
    <x v="10"/>
    <n v="799"/>
    <n v="900"/>
    <n v="101"/>
    <x v="0"/>
    <s v="Low Discount"/>
  </r>
  <r>
    <x v="56"/>
    <n v="657"/>
    <s v="KSh 1,288"/>
    <n v="0.49"/>
    <m/>
    <m/>
    <x v="1"/>
    <n v="0"/>
    <x v="10"/>
    <n v="657"/>
    <n v="1288"/>
    <n v="631"/>
    <x v="0"/>
    <s v="High Discount"/>
  </r>
  <r>
    <x v="85"/>
    <n v="1468"/>
    <s v="KSh 1,699"/>
    <n v="0.14000000000000001"/>
    <m/>
    <m/>
    <x v="2"/>
    <n v="0"/>
    <x v="10"/>
    <n v="1468"/>
    <n v="1699"/>
    <n v="231"/>
    <x v="0"/>
    <s v="Low Discount"/>
  </r>
  <r>
    <x v="86"/>
    <n v="630"/>
    <s v="KSh 1,100"/>
    <n v="0.43"/>
    <m/>
    <m/>
    <x v="1"/>
    <n v="0"/>
    <x v="10"/>
    <n v="630"/>
    <n v="1100"/>
    <n v="470"/>
    <x v="0"/>
    <s v="High Discount"/>
  </r>
  <r>
    <x v="87"/>
    <n v="850"/>
    <s v="KSh 1,700"/>
    <n v="0.5"/>
    <m/>
    <m/>
    <x v="1"/>
    <n v="0"/>
    <x v="10"/>
    <n v="850"/>
    <n v="1700"/>
    <n v="850"/>
    <x v="0"/>
    <s v="High Discount"/>
  </r>
  <r>
    <x v="88"/>
    <n v="1300"/>
    <s v="KSh 2,500"/>
    <n v="0.48"/>
    <m/>
    <m/>
    <x v="1"/>
    <n v="0"/>
    <x v="10"/>
    <n v="1300"/>
    <n v="2500"/>
    <n v="1200"/>
    <x v="0"/>
    <s v="High Discount"/>
  </r>
  <r>
    <x v="89"/>
    <n v="105"/>
    <s v="KSh 200"/>
    <n v="0.48"/>
    <m/>
    <m/>
    <x v="1"/>
    <n v="0"/>
    <x v="10"/>
    <n v="105"/>
    <n v="200"/>
    <n v="95"/>
    <x v="0"/>
    <s v="High Discount"/>
  </r>
  <r>
    <x v="90"/>
    <n v="899"/>
    <s v="KSh 1,699"/>
    <n v="0.47"/>
    <m/>
    <m/>
    <x v="1"/>
    <n v="0"/>
    <x v="10"/>
    <n v="899"/>
    <n v="1699"/>
    <n v="800"/>
    <x v="0"/>
    <s v="High Discount"/>
  </r>
  <r>
    <x v="91"/>
    <n v="1200"/>
    <s v="KSh 2,400"/>
    <n v="0.5"/>
    <m/>
    <m/>
    <x v="1"/>
    <n v="0"/>
    <x v="10"/>
    <n v="1200"/>
    <n v="2400"/>
    <n v="1200"/>
    <x v="0"/>
    <s v="High Discount"/>
  </r>
  <r>
    <x v="92"/>
    <n v="1526"/>
    <s v="KSh 1,660"/>
    <n v="0.08"/>
    <m/>
    <m/>
    <x v="2"/>
    <n v="0"/>
    <x v="10"/>
    <n v="1526"/>
    <n v="1660"/>
    <n v="134"/>
    <x v="0"/>
    <s v="Low Discount"/>
  </r>
  <r>
    <x v="93"/>
    <n v="1462"/>
    <s v="KSh 1,499"/>
    <n v="0.02"/>
    <m/>
    <m/>
    <x v="2"/>
    <n v="0"/>
    <x v="10"/>
    <n v="1462"/>
    <n v="1499"/>
    <n v="37"/>
    <x v="0"/>
    <s v="Low Discount"/>
  </r>
  <r>
    <x v="94"/>
    <n v="248"/>
    <s v="KSh 486"/>
    <n v="0.49"/>
    <m/>
    <m/>
    <x v="1"/>
    <n v="0"/>
    <x v="10"/>
    <n v="248"/>
    <n v="486"/>
    <n v="238"/>
    <x v="0"/>
    <s v="High Discount"/>
  </r>
  <r>
    <x v="95"/>
    <n v="3546"/>
    <s v="KSh 3,699"/>
    <n v="0.04"/>
    <m/>
    <m/>
    <x v="2"/>
    <n v="0"/>
    <x v="10"/>
    <n v="3546"/>
    <n v="3699"/>
    <n v="153"/>
    <x v="0"/>
    <s v="Low Discount"/>
  </r>
  <r>
    <x v="96"/>
    <n v="525"/>
    <s v="KSh 1,029"/>
    <n v="0.49"/>
    <m/>
    <m/>
    <x v="1"/>
    <n v="0"/>
    <x v="10"/>
    <n v="525"/>
    <n v="1029"/>
    <n v="504"/>
    <x v="0"/>
    <s v="High Discount"/>
  </r>
  <r>
    <x v="97"/>
    <n v="1080"/>
    <s v="KSh 1,874"/>
    <n v="0.42"/>
    <m/>
    <m/>
    <x v="1"/>
    <n v="0"/>
    <x v="10"/>
    <n v="1080"/>
    <n v="1874"/>
    <n v="794"/>
    <x v="0"/>
    <s v="High Discount"/>
  </r>
  <r>
    <x v="98"/>
    <n v="3640"/>
    <s v="KSh 4,588"/>
    <n v="0.21"/>
    <n v="-1"/>
    <s v="5 out of 5"/>
    <x v="0"/>
    <n v="1"/>
    <x v="8"/>
    <n v="3640"/>
    <n v="4588"/>
    <n v="948"/>
    <x v="0"/>
    <s v="Medium Discount"/>
  </r>
  <r>
    <x v="99"/>
    <n v="1420"/>
    <s v="KSh 2,420"/>
    <n v="0.41"/>
    <m/>
    <m/>
    <x v="1"/>
    <n v="0"/>
    <x v="10"/>
    <n v="1420"/>
    <n v="2420"/>
    <n v="1000"/>
    <x v="0"/>
    <s v="High Discount"/>
  </r>
  <r>
    <x v="100"/>
    <n v="1875"/>
    <s v="KSh 1,899"/>
    <n v="0.01"/>
    <m/>
    <m/>
    <x v="2"/>
    <n v="0"/>
    <x v="10"/>
    <n v="1875"/>
    <n v="1899"/>
    <n v="24"/>
    <x v="0"/>
    <s v="Low Discount"/>
  </r>
  <r>
    <x v="101"/>
    <n v="198"/>
    <s v="KSh 260"/>
    <n v="0.24"/>
    <m/>
    <m/>
    <x v="0"/>
    <n v="0"/>
    <x v="10"/>
    <n v="198"/>
    <n v="260"/>
    <n v="62"/>
    <x v="0"/>
    <s v="Medium Discount"/>
  </r>
  <r>
    <x v="102"/>
    <n v="1150"/>
    <s v="KSh 1,737"/>
    <n v="0.34"/>
    <m/>
    <m/>
    <x v="0"/>
    <n v="0"/>
    <x v="10"/>
    <n v="1150"/>
    <n v="1737"/>
    <n v="587"/>
    <x v="0"/>
    <s v="Medium Discount"/>
  </r>
  <r>
    <x v="103"/>
    <n v="1190"/>
    <s v="KSh 1,810"/>
    <n v="0.34"/>
    <m/>
    <m/>
    <x v="0"/>
    <n v="0"/>
    <x v="10"/>
    <n v="1190"/>
    <n v="1810"/>
    <n v="620"/>
    <x v="0"/>
    <s v="Medium Discount"/>
  </r>
  <r>
    <x v="104"/>
    <n v="1658"/>
    <s v="KSh 1,699"/>
    <n v="0.02"/>
    <m/>
    <m/>
    <x v="2"/>
    <n v="0"/>
    <x v="10"/>
    <n v="1658"/>
    <n v="1699"/>
    <n v="41"/>
    <x v="0"/>
    <s v="Low Discount"/>
  </r>
  <r>
    <x v="105"/>
    <n v="1768"/>
    <s v="KSh 1,799"/>
    <n v="0.02"/>
    <m/>
    <m/>
    <x v="2"/>
    <n v="0"/>
    <x v="10"/>
    <n v="1768"/>
    <n v="1799"/>
    <n v="31"/>
    <x v="0"/>
    <s v="Low Discount"/>
  </r>
  <r>
    <x v="106"/>
    <n v="199"/>
    <s v="KSh 553"/>
    <n v="0.64"/>
    <m/>
    <m/>
    <x v="1"/>
    <n v="0"/>
    <x v="10"/>
    <n v="199"/>
    <n v="553"/>
    <n v="354"/>
    <x v="0"/>
    <s v="High Discount"/>
  </r>
  <r>
    <x v="107"/>
    <n v="450"/>
    <s v="KSh 900"/>
    <n v="0.5"/>
    <n v="-1"/>
    <s v="2 out of 5"/>
    <x v="1"/>
    <n v="1"/>
    <x v="22"/>
    <n v="450"/>
    <n v="900"/>
    <n v="450"/>
    <x v="2"/>
    <s v="High Discount"/>
  </r>
  <r>
    <x v="108"/>
    <n v="169"/>
    <s v="KSh 320"/>
    <n v="0.47"/>
    <m/>
    <m/>
    <x v="1"/>
    <n v="0"/>
    <x v="10"/>
    <n v="169"/>
    <n v="320"/>
    <n v="151"/>
    <x v="0"/>
    <s v="High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0D7CD-1378-4240-B2C3-2E59C06F72C4}" name="PivotTable20" cacheId="2"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39">
  <location ref="A3:B14" firstHeaderRow="1" firstDataRow="1" firstDataCol="1"/>
  <pivotFields count="13">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9" showAll="0"/>
    <pivotField showAll="0"/>
    <pivotField showAll="0"/>
    <pivotField dataField="1" showAll="0"/>
    <pivotField showAll="0"/>
    <pivotField showAll="0"/>
    <pivotField showAll="0"/>
    <pivotField numFmtId="3"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_Clean" fld="6" subtotal="average" baseField="0" baseItem="0" numFmtId="164"/>
  </dataFields>
  <chartFormats count="2">
    <chartFormat chart="31" format="0"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6DDE74-7FF6-41F3-8B91-D909FEEA54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3">
    <pivotField showAll="0"/>
    <pivotField numFmtId="3" showAll="0"/>
    <pivotField numFmtId="3" showAll="0"/>
    <pivotField dataField="1" showAll="0"/>
    <pivotField showAll="0"/>
    <pivotField showAll="0"/>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 showAll="0"/>
    <pivotField showAll="0"/>
    <pivotField axis="axisRow" showAll="0">
      <items count="5">
        <item x="1"/>
        <item x="2"/>
        <item x="0"/>
        <item x="3"/>
        <item t="default"/>
      </items>
    </pivotField>
  </pivotFields>
  <rowFields count="1">
    <field x="12"/>
  </rowFields>
  <rowItems count="5">
    <i>
      <x/>
    </i>
    <i>
      <x v="1"/>
    </i>
    <i>
      <x v="2"/>
    </i>
    <i>
      <x v="3"/>
    </i>
    <i t="grand">
      <x/>
    </i>
  </rowItems>
  <colFields count="1">
    <field x="-2"/>
  </colFields>
  <colItems count="2">
    <i>
      <x/>
    </i>
    <i i="1">
      <x v="1"/>
    </i>
  </colItems>
  <dataFields count="2">
    <dataField name="Average of Rating_Clean" fld="6" subtotal="average" baseField="0" baseItem="0"/>
    <dataField name="Average of Discount"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E73D2-6662-4511-87A8-87CFDB4FDA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numFmtId="3" showAll="0"/>
    <pivotField dataField="1" numFmtId="3" showAll="0"/>
    <pivotField dataField="1"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Average of Current price(Ksh)" fld="1" subtotal="average" baseField="0" baseItem="0" numFmtId="3"/>
    <dataField name="Average of Rating_Clean" fld="6" subtotal="average" baseField="0" baseItem="0"/>
    <dataField name="Average of old price(Ksh)" fld="2" subtotal="average" baseField="0" baseItem="0" numFmtId="3"/>
    <dataField name="Average of Discount"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10E7B-2114-4E8B-8CE4-B4725DE108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09"/>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numFmtId="3" showAll="0"/>
    <pivotField numFmtId="3"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Max of Current price(Ksh)" fld="1" subtotal="max" baseField="0" baseItem="0" numFmtId="3"/>
    <dataField name="Min of Current price(Ksh)" fld="1" subtotal="min"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C6B6A-007C-46AA-BE0A-CE65C3C026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dataField="1"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09"/>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s>
  <rowFields count="1">
    <field x="11"/>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50E17A-AA29-4A67-AE90-7C486F644A1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09"/>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B3CD8-9FD1-4A9E-AC36-3D18424FEEF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numFmtId="3" showAll="0"/>
    <pivotField numFmtId="3"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 showAll="0"/>
    <pivotField showAll="0"/>
    <pivotField showAll="0"/>
  </pivotFields>
  <rowItems count="1">
    <i/>
  </rowItems>
  <colItems count="1">
    <i/>
  </colItems>
  <dataFields count="1">
    <dataField name="Average of Rating_Clean"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92AE13-074A-4D47-980D-A2ADFC409F6C}"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numFmtId="3" showAll="0"/>
    <pivotField numFmtId="3" showAll="0"/>
    <pivotField numFmtId="9" showAll="0"/>
    <pivotField showAll="0"/>
    <pivotField showAll="0"/>
    <pivotField dataField="1" showAll="0"/>
    <pivotField showAll="0"/>
    <pivotField showAll="0"/>
    <pivotField showAll="0"/>
    <pivotField numFmtId="3" showAll="0"/>
    <pivotField showAll="0"/>
    <pivotField showAll="0"/>
  </pivotFields>
  <rowItems count="1">
    <i/>
  </rowItems>
  <colItems count="1">
    <i/>
  </colItems>
  <dataFields count="1">
    <dataField name="Average of Rating_Clean" fld="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2A4D91-B3FD-4A99-B8CE-293A1640E344}"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numFmtId="3" showAll="0"/>
    <pivotField numFmtId="3" showAll="0"/>
    <pivotField dataField="1" numFmtId="9" showAll="0"/>
    <pivotField showAll="0"/>
    <pivotField showAll="0"/>
    <pivotField showAll="0"/>
    <pivotField showAll="0"/>
    <pivotField showAll="0"/>
    <pivotField showAll="0"/>
    <pivotField numFmtId="3" showAll="0"/>
    <pivotField showAll="0"/>
    <pivotField showAll="0"/>
  </pivotFields>
  <rowItems count="1">
    <i/>
  </rowItems>
  <colItems count="1">
    <i/>
  </colItems>
  <dataFields count="1">
    <dataField name="Average of Discount" fld="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F2F9B2-7662-4F6A-A24B-283C031A310D}"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numFmtId="3" showAll="0"/>
    <pivotField numFmtId="3" showAll="0"/>
    <pivotField numFmtId="9" showAll="0"/>
    <pivotField dataField="1" showAll="0"/>
    <pivotField showAll="0"/>
    <pivotField showAll="0"/>
    <pivotField showAll="0"/>
    <pivotField showAll="0"/>
    <pivotField showAll="0"/>
    <pivotField numFmtId="3" showAll="0"/>
    <pivotField showAll="0"/>
    <pivotField showAll="0"/>
  </pivotFields>
  <rowItems count="1">
    <i/>
  </rowItems>
  <colItems count="1">
    <i/>
  </colItems>
  <dataFields count="1">
    <dataField name="Count of Review"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DD2735-2A1A-45C9-BA40-50537C207FD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3">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numFmtId="9" showAll="0"/>
    <pivotField showAll="0"/>
    <pivotField showAll="0"/>
    <pivotField dataField="1" showAll="0"/>
    <pivotField showAll="0"/>
    <pivotField showAll="0"/>
    <pivotField showAll="0"/>
    <pivotField numFmtId="3"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Max of Rating_Clean"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52FDDB-0CBA-4D10-949D-7D5A1B960928}"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3">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numFmtId="9" showAll="0"/>
    <pivotField showAll="0"/>
    <pivotField showAll="0"/>
    <pivotField showAll="0"/>
    <pivotField showAll="0"/>
    <pivotField showAll="0"/>
    <pivotField dataField="1" showAll="0"/>
    <pivotField numFmtId="3" showAll="0"/>
    <pivotField showAll="0"/>
    <pivotField showAll="0"/>
  </pivotFields>
  <rowFields count="1">
    <field x="0"/>
  </rowFields>
  <rowItems count="11">
    <i>
      <x v="1"/>
    </i>
    <i>
      <x v="5"/>
    </i>
    <i>
      <x v="8"/>
    </i>
    <i>
      <x v="18"/>
    </i>
    <i>
      <x v="26"/>
    </i>
    <i>
      <x v="27"/>
    </i>
    <i>
      <x v="28"/>
    </i>
    <i>
      <x v="59"/>
    </i>
    <i>
      <x v="91"/>
    </i>
    <i>
      <x v="95"/>
    </i>
    <i t="grand">
      <x/>
    </i>
  </rowItems>
  <colItems count="1">
    <i/>
  </colItems>
  <dataFields count="1">
    <dataField name="Sum of Review Sentiments" fld="9"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FE35BB-E61F-4B08-B3BD-807A2FDE0BDE}" name="PivotTable3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7" firstHeaderRow="1" firstDataRow="1" firstDataCol="1"/>
  <pivotFields count="13">
    <pivotField showAll="0"/>
    <pivotField numFmtId="3" showAll="0"/>
    <pivotField numFmtId="3" showAll="0"/>
    <pivotField numFmtId="9" showAll="0"/>
    <pivotField showAll="0"/>
    <pivotField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 numFmtId="3" showAll="0"/>
    <pivotField showAll="0"/>
    <pivotField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Review Sentiments" fld="9" subtotal="count"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68D3D5-6D97-4098-A675-DF4BD789DF0E}"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showAll="0"/>
    <pivotField numFmtId="3" showAll="0"/>
    <pivotField axis="axisRow" showAll="0">
      <items count="4">
        <item x="1"/>
        <item x="0"/>
        <item x="2"/>
        <item t="default"/>
      </items>
    </pivotField>
    <pivotField showAll="0"/>
  </pivotFields>
  <rowFields count="1">
    <field x="11"/>
  </rowFields>
  <rowItems count="4">
    <i>
      <x/>
    </i>
    <i>
      <x v="1"/>
    </i>
    <i>
      <x v="2"/>
    </i>
    <i t="grand">
      <x/>
    </i>
  </rowItems>
  <colItems count="1">
    <i/>
  </colItems>
  <dataFields count="1">
    <dataField name="Count of Product"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38F70D-FCAD-45BE-9FCD-CE2F8B3A0747}"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numFmtId="9" showAll="0"/>
    <pivotField showAll="0"/>
    <pivotField showAll="0"/>
    <pivotField showAll="0"/>
    <pivotField showAll="0"/>
    <pivotField showAll="0"/>
    <pivotField showAll="0"/>
    <pivotField numFmtId="3" showAll="0"/>
    <pivotField showAll="0"/>
    <pivotField axis="axisRow" showAll="0">
      <items count="2">
        <item x="0"/>
        <item t="default"/>
      </items>
    </pivotField>
  </pivotFields>
  <rowFields count="1">
    <field x="12"/>
  </rowFields>
  <rowItems count="2">
    <i>
      <x/>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83ED0A1-6F06-401E-B627-B4BFCF7E5B3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
    <pivotField showAll="0"/>
    <pivotField showAll="0"/>
    <pivotField showAll="0"/>
    <pivotField dataField="1" numFmtId="9" showAll="0"/>
    <pivotField showAll="0"/>
    <pivotField showAll="0"/>
  </pivotFields>
  <rowItems count="1">
    <i/>
  </rowItems>
  <colItems count="1">
    <i/>
  </colItems>
  <dataFields count="1">
    <dataField name="Average of Discount" fld="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C36AB6F-E183-428D-B87E-A2A3D374E1CE}" name="PivotTable3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6">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9" showAll="0"/>
    <pivotField showAll="0"/>
    <pivotField showAll="0"/>
  </pivotFields>
  <rowFields count="1">
    <field x="0"/>
  </rowFields>
  <rowItems count="11">
    <i>
      <x v="20"/>
    </i>
    <i>
      <x v="30"/>
    </i>
    <i>
      <x v="31"/>
    </i>
    <i>
      <x v="52"/>
    </i>
    <i>
      <x v="53"/>
    </i>
    <i>
      <x v="60"/>
    </i>
    <i>
      <x v="64"/>
    </i>
    <i>
      <x v="67"/>
    </i>
    <i>
      <x v="70"/>
    </i>
    <i>
      <x v="84"/>
    </i>
    <i t="grand">
      <x/>
    </i>
  </rowItems>
  <colItems count="1">
    <i/>
  </colItems>
  <dataFields count="1">
    <dataField name="Average of Discount" fld="3" subtotal="average" baseField="0" baseItem="0" numFmtId="9"/>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AEE97AB-89F5-456F-BA89-0418D35A540A}" name="PivotTable3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7">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axis="axisRow" showAll="0">
      <items count="4">
        <item x="1"/>
        <item x="2"/>
        <item x="0"/>
        <item t="default"/>
      </items>
    </pivotField>
  </pivotFields>
  <rowFields count="1">
    <field x="6"/>
  </rowFields>
  <rowItems count="4">
    <i>
      <x/>
    </i>
    <i>
      <x v="1"/>
    </i>
    <i>
      <x v="2"/>
    </i>
    <i t="grand">
      <x/>
    </i>
  </rowItems>
  <colItems count="1">
    <i/>
  </colItems>
  <dataFields count="1">
    <dataField name="Count of Product" fld="0" subtotal="count"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8EFE8F-E8A2-4162-AB1D-25B2B61D17F2}"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items count="4">
        <item x="1"/>
        <item x="2"/>
        <item x="0"/>
        <item t="default"/>
      </items>
    </pivotField>
    <pivotField numFmtId="164" showAll="0"/>
    <pivotField showAll="0"/>
    <pivotField showAll="0"/>
    <pivotField showAll="0"/>
    <pivotField showAll="0"/>
    <pivotField showAll="0">
      <items count="4">
        <item x="1"/>
        <item x="0"/>
        <item x="2"/>
        <item t="default"/>
      </items>
    </pivotField>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D25B83-162F-4ADD-8BAA-1AFBEA0F904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items count="4">
        <item x="1"/>
        <item x="2"/>
        <item x="0"/>
        <item t="default"/>
      </items>
    </pivotField>
    <pivotField numFmtId="164"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showAll="0"/>
    <pivotField showAll="0">
      <items count="4">
        <item x="1"/>
        <item x="0"/>
        <item x="2"/>
        <item t="default"/>
      </items>
    </pivotField>
    <pivotField showAll="0"/>
  </pivotFields>
  <rowItems count="1">
    <i/>
  </rowItems>
  <colItems count="1">
    <i/>
  </colItems>
  <dataFields count="1">
    <dataField name="Average of Rating_Clean"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E9AF541-8F25-4540-96B6-4D7A933EBD6D}"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9" showAll="0"/>
    <pivotField showAll="0"/>
    <pivotField showAll="0"/>
    <pivotField showAll="0">
      <items count="4">
        <item x="1"/>
        <item x="2"/>
        <item x="0"/>
        <item t="default"/>
      </items>
    </pivotField>
    <pivotField numFmtId="164" showAll="0"/>
    <pivotField showAll="0"/>
    <pivotField showAll="0"/>
    <pivotField showAll="0"/>
    <pivotField showAll="0"/>
    <pivotField showAll="0">
      <items count="4">
        <item x="1"/>
        <item x="0"/>
        <item x="2"/>
        <item t="default"/>
      </items>
    </pivotField>
    <pivotField showAll="0"/>
  </pivotFields>
  <rowItems count="1">
    <i/>
  </rowItems>
  <colItems count="1">
    <i/>
  </colItems>
  <dataFields count="1">
    <dataField name="Average of Discount" fld="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6428BDE-CDD4-4C82-BC35-392D6A57936A}"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dataField="1" showAll="0"/>
    <pivotField showAll="0"/>
    <pivotField showAll="0">
      <items count="4">
        <item x="1"/>
        <item x="2"/>
        <item x="0"/>
        <item t="default"/>
      </items>
    </pivotField>
    <pivotField numFmtId="164" showAll="0"/>
    <pivotField showAll="0"/>
    <pivotField showAll="0"/>
    <pivotField showAll="0"/>
    <pivotField showAll="0"/>
    <pivotField showAll="0">
      <items count="4">
        <item x="1"/>
        <item x="0"/>
        <item x="2"/>
        <item t="default"/>
      </items>
    </pivotField>
    <pivotField showAll="0"/>
  </pivotFields>
  <rowItems count="1">
    <i/>
  </rowItems>
  <colItems count="1">
    <i/>
  </colItems>
  <dataFields count="1">
    <dataField name="Count of Review"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C85F766-83F6-458C-BCBB-57ACB2912B96}" name="PivotTable5" cacheId="21"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7">
  <location ref="A3:B14" firstHeaderRow="1" firstDataRow="1" firstDataCol="1"/>
  <pivotFields count="14">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showAll="0"/>
    <pivotField showAll="0">
      <items count="4">
        <item x="1"/>
        <item x="2"/>
        <item x="0"/>
        <item t="default"/>
      </items>
    </pivotField>
    <pivotField numFmtId="164"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showAll="0"/>
    <pivotField showAll="0">
      <items count="4">
        <item x="1"/>
        <item x="0"/>
        <item x="2"/>
        <item t="default"/>
      </items>
    </pivotField>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_Clean" fld="8" subtotal="average"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427B50F-A458-4C6C-8762-E9EB9568B4E8}"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14">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showAll="0"/>
    <pivotField showAll="0">
      <items count="4">
        <item x="1"/>
        <item x="2"/>
        <item x="0"/>
        <item t="default"/>
      </items>
    </pivotField>
    <pivotField dataField="1" numFmtId="164" showAll="0"/>
    <pivotField showAll="0"/>
    <pivotField showAll="0"/>
    <pivotField showAll="0"/>
    <pivotField showAll="0"/>
    <pivotField showAll="0">
      <items count="4">
        <item x="1"/>
        <item x="0"/>
        <item x="2"/>
        <item t="default"/>
      </items>
    </pivotField>
    <pivotField showAll="0"/>
  </pivotFields>
  <rowFields count="1">
    <field x="0"/>
  </rowFields>
  <rowItems count="11">
    <i>
      <x v="5"/>
    </i>
    <i>
      <x v="8"/>
    </i>
    <i>
      <x v="59"/>
    </i>
    <i>
      <x v="18"/>
    </i>
    <i>
      <x v="1"/>
    </i>
    <i>
      <x v="95"/>
    </i>
    <i>
      <x v="27"/>
    </i>
    <i>
      <x v="91"/>
    </i>
    <i>
      <x v="28"/>
    </i>
    <i>
      <x v="26"/>
    </i>
    <i t="grand">
      <x/>
    </i>
  </rowItems>
  <colItems count="1">
    <i/>
  </colItems>
  <dataFields count="1">
    <dataField name="Sum of Review (Positive)" fld="7" baseField="0" baseItem="0" numFmtId="164"/>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F6A0BA2-340B-492A-869C-DDF7BE7DC828}"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4">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dataField="1" numFmtId="9" showAll="0"/>
    <pivotField showAll="0"/>
    <pivotField showAll="0"/>
    <pivotField showAll="0">
      <items count="4">
        <item x="1"/>
        <item x="2"/>
        <item x="0"/>
        <item t="default"/>
      </items>
    </pivotField>
    <pivotField numFmtId="164" showAll="0"/>
    <pivotField showAll="0"/>
    <pivotField showAll="0"/>
    <pivotField showAll="0"/>
    <pivotField showAll="0"/>
    <pivotField showAll="0">
      <items count="4">
        <item x="1"/>
        <item x="0"/>
        <item x="2"/>
        <item t="default"/>
      </items>
    </pivotField>
    <pivotField showAll="0"/>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0" numFmtId="9"/>
  </dataFields>
  <chartFormats count="2">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0A4A694-01A0-4C2C-8735-7D8089ADC155}"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9" showAll="0"/>
    <pivotField showAll="0"/>
    <pivotField showAll="0"/>
    <pivotField showAll="0">
      <items count="4">
        <item x="1"/>
        <item x="2"/>
        <item x="0"/>
        <item t="default"/>
      </items>
    </pivotField>
    <pivotField dataField="1" numFmtId="164" showAll="0"/>
    <pivotField showAll="0"/>
    <pivotField showAll="0"/>
    <pivotField showAll="0"/>
    <pivotField showAll="0"/>
    <pivotField showAll="0">
      <items count="4">
        <item x="1"/>
        <item x="0"/>
        <item x="2"/>
        <item t="default"/>
      </items>
    </pivotField>
    <pivotField showAll="0"/>
  </pivotFields>
  <rowItems count="1">
    <i/>
  </rowItems>
  <colFields count="1">
    <field x="-2"/>
  </colFields>
  <colItems count="2">
    <i>
      <x/>
    </i>
    <i i="1">
      <x v="1"/>
    </i>
  </colItems>
  <dataFields count="2">
    <dataField name="Sum of Discount" fld="3" baseField="0" baseItem="0" numFmtId="9"/>
    <dataField name="Sum of Review (Positiv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A4255D4-5A9B-400C-AABB-AC5994BFDBDB}"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items count="4">
        <item x="1"/>
        <item x="2"/>
        <item x="0"/>
        <item t="default"/>
      </items>
    </pivotField>
    <pivotField numFmtId="164" showAll="0"/>
    <pivotField showAll="0"/>
    <pivotField showAll="0"/>
    <pivotField showAll="0"/>
    <pivotField showAll="0"/>
    <pivotField axis="axisRow" showAll="0">
      <items count="4">
        <item x="1"/>
        <item x="0"/>
        <item x="2"/>
        <item t="default"/>
      </items>
    </pivotField>
    <pivotField showAll="0"/>
  </pivotFields>
  <rowFields count="1">
    <field x="12"/>
  </rowFields>
  <rowItems count="4">
    <i>
      <x/>
    </i>
    <i>
      <x v="1"/>
    </i>
    <i>
      <x v="2"/>
    </i>
    <i t="grand">
      <x/>
    </i>
  </rowItems>
  <colItems count="1">
    <i/>
  </colItems>
  <dataFields count="1">
    <dataField name="Count of Product" fld="0" subtotal="count"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E2B9268-2558-4A2E-B52A-A3652FDC3C27}"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4">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axis="axisRow" showAll="0">
      <items count="4">
        <item x="1"/>
        <item x="2"/>
        <item x="0"/>
        <item t="default"/>
      </items>
    </pivotField>
    <pivotField numFmtId="164" showAll="0"/>
    <pivotField showAll="0"/>
    <pivotField showAll="0"/>
    <pivotField showAll="0"/>
    <pivotField showAll="0"/>
    <pivotField showAll="0">
      <items count="4">
        <item x="1"/>
        <item x="0"/>
        <item x="2"/>
        <item t="default"/>
      </items>
    </pivotField>
    <pivotField showAll="0"/>
  </pivotFields>
  <rowFields count="1">
    <field x="6"/>
  </rowFields>
  <rowItems count="4">
    <i>
      <x/>
    </i>
    <i>
      <x v="1"/>
    </i>
    <i>
      <x v="2"/>
    </i>
    <i t="grand">
      <x/>
    </i>
  </rowItems>
  <colItems count="1">
    <i/>
  </colItems>
  <dataFields count="1">
    <dataField name="Count of Product"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418800E-D9B3-4AE4-B5AA-93B87684731C}"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4">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items count="4">
        <item x="1"/>
        <item x="2"/>
        <item x="0"/>
        <item t="default"/>
      </items>
    </pivotField>
    <pivotField numFmtId="164" showAll="0"/>
    <pivotField showAll="0"/>
    <pivotField showAll="0"/>
    <pivotField showAll="0"/>
    <pivotField showAll="0"/>
    <pivotField axis="axisRow" showAll="0">
      <items count="4">
        <item x="1"/>
        <item x="0"/>
        <item x="2"/>
        <item t="default"/>
      </items>
    </pivotField>
    <pivotField showAll="0"/>
  </pivotFields>
  <rowFields count="1">
    <field x="1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AA11077-BB70-41B9-95D9-0030773C7A98}" sourceName="Discount Category">
  <pivotTables>
    <pivotTable tabId="39" name="PivotTable11"/>
    <pivotTable tabId="30" name="PivotTable3"/>
    <pivotTable tabId="29" name="PivotTable2"/>
    <pivotTable tabId="36" name="PivotTable8"/>
    <pivotTable tabId="28" name="PivotTable1"/>
    <pivotTable tabId="31" name="PivotTable4"/>
    <pivotTable tabId="37" name="PivotTable9"/>
    <pivotTable tabId="38" name="PivotTable10"/>
    <pivotTable tabId="34" name="PivotTable6"/>
    <pivotTable tabId="35" name="PivotTable7"/>
    <pivotTable tabId="33" name="PivotTable5"/>
  </pivotTables>
  <data>
    <tabular pivotCacheId="126497398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2E8BB084-11A3-4EE1-84DB-56F5813DEAAB}" sourceName="Rating Category">
  <pivotTables>
    <pivotTable tabId="39" name="PivotTable11"/>
    <pivotTable tabId="30" name="PivotTable3"/>
    <pivotTable tabId="29" name="PivotTable2"/>
    <pivotTable tabId="36" name="PivotTable8"/>
    <pivotTable tabId="28" name="PivotTable1"/>
    <pivotTable tabId="31" name="PivotTable4"/>
    <pivotTable tabId="37" name="PivotTable9"/>
    <pivotTable tabId="38" name="PivotTable10"/>
    <pivotTable tabId="34" name="PivotTable6"/>
    <pivotTable tabId="35" name="PivotTable7"/>
    <pivotTable tabId="33" name="PivotTable5"/>
  </pivotTables>
  <data>
    <tabular pivotCacheId="126497398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6C82B4-AE45-45A3-9485-BC3B08A1D607}" sourceName="Product">
  <pivotTables>
    <pivotTable tabId="39" name="PivotTable11"/>
    <pivotTable tabId="30" name="PivotTable3"/>
    <pivotTable tabId="29" name="PivotTable2"/>
    <pivotTable tabId="36" name="PivotTable8"/>
    <pivotTable tabId="28" name="PivotTable1"/>
    <pivotTable tabId="31" name="PivotTable4"/>
    <pivotTable tabId="37" name="PivotTable9"/>
    <pivotTable tabId="38" name="PivotTable10"/>
    <pivotTable tabId="34" name="PivotTable6"/>
    <pivotTable tabId="35" name="PivotTable7"/>
    <pivotTable tabId="33" name="PivotTable5"/>
  </pivotTables>
  <data>
    <tabular pivotCacheId="1264973985">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C82E2D6C-F9D5-455D-9B70-39708B7E00DF}" cache="Slicer_Discount_Category" caption="Discount Category" rowHeight="220133"/>
  <slicer name="Rating Category 1" xr10:uid="{EA2F4EA1-5DCA-4203-B544-93BA4F53A368}" cache="Slicer_Rating_Category" caption="Rating Category" rowHeight="220133"/>
  <slicer name="Product 1" xr10:uid="{DF0D9ED3-30A9-4425-AAE2-653D1FBA89EF}" cache="Slicer_Product" caption="Product"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5DF4D272-BFF5-46FF-B9A4-41D51C5EEF53}" cache="Slicer_Discount_Category" caption="Discount Category" rowHeight="220133"/>
  <slicer name="Rating Category" xr10:uid="{86F70ED1-F96F-4F39-A5C2-F4ECD5B23057}" cache="Slicer_Rating_Category" caption="Rating Category" rowHeight="220133"/>
  <slicer name="Product" xr10:uid="{E68AB3A4-66D0-4106-9023-73686B9FE2D4}" cache="Slicer_Product" caption="Product"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5.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7.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8.xml"/></Relationships>
</file>

<file path=xl/worksheets/_rels/sheet3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7.xml"/><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2F62-BA18-4225-AE78-12B81378A236}">
  <dimension ref="A1"/>
  <sheetViews>
    <sheetView showGridLines="0" tabSelected="1" zoomScale="50" zoomScaleNormal="50" workbookViewId="0">
      <selection sqref="A1:XFD1048576"/>
    </sheetView>
  </sheetViews>
  <sheetFormatPr defaultRowHeight="13" x14ac:dyDescent="0.3"/>
  <cols>
    <col min="1" max="16384" width="8.7265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6"/>
  <sheetViews>
    <sheetView topLeftCell="C1" workbookViewId="0">
      <pane ySplit="1" topLeftCell="A74" activePane="bottomLeft" state="frozen"/>
      <selection pane="bottomLeft" activeCell="O97" sqref="O97"/>
    </sheetView>
  </sheetViews>
  <sheetFormatPr defaultRowHeight="14" customHeight="1" x14ac:dyDescent="0.3"/>
  <cols>
    <col min="1" max="1" width="82.6328125"/>
    <col min="2" max="3" width="19.1796875"/>
    <col min="4" max="4" width="7.90625"/>
    <col min="5" max="5" width="6.7265625"/>
    <col min="6" max="6" width="10.08984375"/>
    <col min="7" max="7" width="13.26953125"/>
    <col min="8" max="9" width="13.26953125" style="8"/>
    <col min="10" max="16" width="13.26953125"/>
  </cols>
  <sheetData>
    <row r="1" spans="1:14" s="2" customFormat="1" ht="14" customHeight="1" x14ac:dyDescent="0.3">
      <c r="A1" s="2" t="s">
        <v>0</v>
      </c>
      <c r="B1" s="2" t="s">
        <v>1</v>
      </c>
      <c r="C1" s="2" t="s">
        <v>2</v>
      </c>
      <c r="D1" s="2" t="s">
        <v>3</v>
      </c>
      <c r="E1" s="2" t="s">
        <v>4</v>
      </c>
      <c r="F1" s="2" t="s">
        <v>228</v>
      </c>
      <c r="G1" s="2" t="s">
        <v>237</v>
      </c>
      <c r="H1" s="7" t="s">
        <v>258</v>
      </c>
      <c r="I1" s="7" t="s">
        <v>229</v>
      </c>
      <c r="J1" s="2" t="s">
        <v>259</v>
      </c>
      <c r="K1" s="2" t="s">
        <v>260</v>
      </c>
      <c r="L1" s="2" t="s">
        <v>235</v>
      </c>
      <c r="M1" s="2" t="s">
        <v>236</v>
      </c>
      <c r="N1" s="2" t="s">
        <v>237</v>
      </c>
    </row>
    <row r="2" spans="1:14" ht="14" customHeight="1" x14ac:dyDescent="0.3">
      <c r="A2" t="s">
        <v>5</v>
      </c>
      <c r="B2">
        <v>950</v>
      </c>
      <c r="C2" t="s">
        <v>6</v>
      </c>
      <c r="D2" s="1">
        <v>0.38</v>
      </c>
      <c r="E2">
        <v>-2</v>
      </c>
      <c r="F2" t="s">
        <v>7</v>
      </c>
      <c r="G2" t="str">
        <f t="shared" ref="G2:G33" si="0">IF(ISBLANK(D2),"",IF(D2&lt;20%,"Low Discount",IF(D2&lt;=40%,"Medium Discount","High Discount")))</f>
        <v>Medium Discount</v>
      </c>
      <c r="H2" s="8">
        <f t="shared" ref="H2:H33" si="1">IFERROR(ABS(E2),"No Review")</f>
        <v>2</v>
      </c>
      <c r="I2" s="8">
        <f>IF(ISNUMBER(F2), F2, IF(ISBLANK(F2), "", VALUE(LEFT(F2, FIND(" ", F2 &amp; " ")-1))))</f>
        <v>4.5</v>
      </c>
      <c r="J2">
        <f>IF(ISBLANK(B2),"",VALUE(SUBSTITUTE(SUBSTITUTE(B2,"KSh ",""),",","")))</f>
        <v>950</v>
      </c>
      <c r="K2">
        <f>IF(ISBLANK(C2),"",VALUE(SUBSTITUTE(SUBSTITUTE(C2,"KSh ",""),",","")))</f>
        <v>1525</v>
      </c>
      <c r="L2">
        <f>K2-J2</f>
        <v>575</v>
      </c>
      <c r="M2" t="str">
        <f>IF(I2&lt;3,"Poor",IF(I2&lt;=4.4,"Average","Excellent"))</f>
        <v>Excellent</v>
      </c>
      <c r="N2" t="str">
        <f>IF(ISBLANK(D2),"",IF(D2&lt;0.2,"Low Discount",IF(D2&lt;=0.4,"Medium Discount","High Discount")))</f>
        <v>Medium Discount</v>
      </c>
    </row>
    <row r="3" spans="1:14" ht="14" customHeight="1" x14ac:dyDescent="0.3">
      <c r="A3" t="s">
        <v>8</v>
      </c>
      <c r="B3">
        <v>527</v>
      </c>
      <c r="C3" t="s">
        <v>9</v>
      </c>
      <c r="D3" s="1">
        <v>0.47</v>
      </c>
      <c r="E3">
        <v>-14</v>
      </c>
      <c r="F3" t="s">
        <v>10</v>
      </c>
      <c r="G3" t="str">
        <f t="shared" si="0"/>
        <v>High Discount</v>
      </c>
      <c r="H3" s="8">
        <f t="shared" si="1"/>
        <v>14</v>
      </c>
      <c r="I3" s="8">
        <f t="shared" ref="I3:I66" si="2">IF(ISNUMBER(F3), F3, IF(ISBLANK(F3), "", VALUE(LEFT(F3, FIND(" ", F3 &amp; " ")-1))))</f>
        <v>4.0999999999999996</v>
      </c>
      <c r="J3">
        <f t="shared" ref="J3:J34" si="3">IF(ISBLANK(B3),"",VALUE(SUBSTITUTE(SUBSTITUTE(B3,"KSh ",""),",","")))</f>
        <v>527</v>
      </c>
      <c r="K3">
        <f t="shared" ref="K3:K66" si="4">IF(ISBLANK(C3),"",VALUE(SUBSTITUTE(SUBSTITUTE(C3,"KSh ",""),",","")))</f>
        <v>999</v>
      </c>
      <c r="L3">
        <f t="shared" ref="L3:L66" si="5">K3-J3</f>
        <v>472</v>
      </c>
      <c r="M3" t="str">
        <f t="shared" ref="M3:M66" si="6">IF(I3&lt;3,"Poor",IF(I3&lt;=4.4,"Average","Excellent"))</f>
        <v>Average</v>
      </c>
      <c r="N3" t="str">
        <f t="shared" ref="N3:N66" si="7">IF(ISBLANK(D3),"",IF(D3&lt;0.2,"Low Discount",IF(D3&lt;=0.4,"Medium Discount","High Discount")))</f>
        <v>High Discount</v>
      </c>
    </row>
    <row r="4" spans="1:14" ht="14" customHeight="1" x14ac:dyDescent="0.3">
      <c r="A4" t="s">
        <v>11</v>
      </c>
      <c r="B4" s="4">
        <v>2199</v>
      </c>
      <c r="C4" t="s">
        <v>13</v>
      </c>
      <c r="D4" s="1">
        <v>0.25</v>
      </c>
      <c r="E4">
        <v>-24</v>
      </c>
      <c r="F4" t="s">
        <v>14</v>
      </c>
      <c r="G4" t="str">
        <f t="shared" si="0"/>
        <v>Medium Discount</v>
      </c>
      <c r="H4" s="8">
        <f t="shared" si="1"/>
        <v>24</v>
      </c>
      <c r="I4" s="8">
        <f t="shared" si="2"/>
        <v>4.5999999999999996</v>
      </c>
      <c r="J4">
        <f t="shared" si="3"/>
        <v>2199</v>
      </c>
      <c r="K4">
        <f t="shared" si="4"/>
        <v>2923</v>
      </c>
      <c r="L4">
        <f t="shared" si="5"/>
        <v>724</v>
      </c>
      <c r="M4" t="str">
        <f t="shared" si="6"/>
        <v>Excellent</v>
      </c>
      <c r="N4" t="str">
        <f t="shared" si="7"/>
        <v>Medium Discount</v>
      </c>
    </row>
    <row r="5" spans="1:14" ht="14" customHeight="1" x14ac:dyDescent="0.3">
      <c r="A5" t="s">
        <v>15</v>
      </c>
      <c r="B5" s="4">
        <v>1580</v>
      </c>
      <c r="C5" t="s">
        <v>17</v>
      </c>
      <c r="D5" s="1">
        <v>0.37</v>
      </c>
      <c r="E5">
        <v>-7</v>
      </c>
      <c r="F5" t="s">
        <v>18</v>
      </c>
      <c r="G5" t="str">
        <f t="shared" si="0"/>
        <v>Medium Discount</v>
      </c>
      <c r="H5" s="8">
        <f t="shared" si="1"/>
        <v>7</v>
      </c>
      <c r="I5" s="8">
        <f t="shared" si="2"/>
        <v>4.7</v>
      </c>
      <c r="J5">
        <f t="shared" si="3"/>
        <v>1580</v>
      </c>
      <c r="K5">
        <f t="shared" si="4"/>
        <v>2499</v>
      </c>
      <c r="L5">
        <f t="shared" si="5"/>
        <v>919</v>
      </c>
      <c r="M5" t="str">
        <f t="shared" si="6"/>
        <v>Excellent</v>
      </c>
      <c r="N5" t="str">
        <f t="shared" si="7"/>
        <v>Medium Discount</v>
      </c>
    </row>
    <row r="6" spans="1:14" ht="14" customHeight="1" x14ac:dyDescent="0.3">
      <c r="A6" t="s">
        <v>19</v>
      </c>
      <c r="B6" s="4">
        <v>1740</v>
      </c>
      <c r="C6" t="s">
        <v>20</v>
      </c>
      <c r="D6" s="1">
        <v>0.26</v>
      </c>
      <c r="E6">
        <v>-5</v>
      </c>
      <c r="F6" t="s">
        <v>21</v>
      </c>
      <c r="G6" t="str">
        <f t="shared" si="0"/>
        <v>Medium Discount</v>
      </c>
      <c r="H6" s="8">
        <f t="shared" si="1"/>
        <v>5</v>
      </c>
      <c r="I6" s="8">
        <f t="shared" si="2"/>
        <v>4.8</v>
      </c>
      <c r="J6">
        <f t="shared" si="3"/>
        <v>1740</v>
      </c>
      <c r="K6">
        <f t="shared" si="4"/>
        <v>2356</v>
      </c>
      <c r="L6">
        <f t="shared" si="5"/>
        <v>616</v>
      </c>
      <c r="M6" t="str">
        <f t="shared" si="6"/>
        <v>Excellent</v>
      </c>
      <c r="N6" t="str">
        <f t="shared" si="7"/>
        <v>Medium Discount</v>
      </c>
    </row>
    <row r="7" spans="1:14" ht="14" customHeight="1" x14ac:dyDescent="0.3">
      <c r="A7" t="s">
        <v>22</v>
      </c>
      <c r="B7" s="4">
        <v>2999</v>
      </c>
      <c r="C7" t="s">
        <v>23</v>
      </c>
      <c r="D7" s="1">
        <v>0.09</v>
      </c>
      <c r="E7">
        <v>-15</v>
      </c>
      <c r="F7" t="s">
        <v>24</v>
      </c>
      <c r="G7" t="str">
        <f t="shared" si="0"/>
        <v>Low Discount</v>
      </c>
      <c r="H7" s="8">
        <f t="shared" si="1"/>
        <v>15</v>
      </c>
      <c r="I7" s="8">
        <f t="shared" si="2"/>
        <v>4</v>
      </c>
      <c r="J7">
        <f t="shared" si="3"/>
        <v>2999</v>
      </c>
      <c r="K7">
        <f t="shared" si="4"/>
        <v>3290</v>
      </c>
      <c r="L7">
        <f t="shared" si="5"/>
        <v>291</v>
      </c>
      <c r="M7" t="str">
        <f t="shared" si="6"/>
        <v>Average</v>
      </c>
      <c r="N7" t="str">
        <f t="shared" si="7"/>
        <v>Low Discount</v>
      </c>
    </row>
    <row r="8" spans="1:14" ht="14" customHeight="1" x14ac:dyDescent="0.3">
      <c r="A8" t="s">
        <v>25</v>
      </c>
      <c r="B8" s="4">
        <v>2319</v>
      </c>
      <c r="C8" t="s">
        <v>26</v>
      </c>
      <c r="D8" s="1">
        <v>0.24</v>
      </c>
      <c r="E8">
        <v>-55</v>
      </c>
      <c r="F8" t="s">
        <v>14</v>
      </c>
      <c r="G8" t="str">
        <f t="shared" si="0"/>
        <v>Medium Discount</v>
      </c>
      <c r="H8" s="8">
        <f t="shared" si="1"/>
        <v>55</v>
      </c>
      <c r="I8" s="8">
        <f t="shared" si="2"/>
        <v>4.5999999999999996</v>
      </c>
      <c r="J8">
        <f t="shared" si="3"/>
        <v>2319</v>
      </c>
      <c r="K8">
        <f t="shared" si="4"/>
        <v>3032</v>
      </c>
      <c r="L8">
        <f t="shared" si="5"/>
        <v>713</v>
      </c>
      <c r="M8" t="str">
        <f t="shared" si="6"/>
        <v>Excellent</v>
      </c>
      <c r="N8" t="str">
        <f t="shared" si="7"/>
        <v>Medium Discount</v>
      </c>
    </row>
    <row r="9" spans="1:14" ht="14" customHeight="1" x14ac:dyDescent="0.3">
      <c r="A9" t="s">
        <v>27</v>
      </c>
      <c r="B9">
        <v>988</v>
      </c>
      <c r="C9" t="s">
        <v>16</v>
      </c>
      <c r="D9" s="1">
        <v>0.37</v>
      </c>
      <c r="E9">
        <v>-2</v>
      </c>
      <c r="F9" t="s">
        <v>24</v>
      </c>
      <c r="G9" t="str">
        <f t="shared" si="0"/>
        <v>Medium Discount</v>
      </c>
      <c r="H9" s="8">
        <f t="shared" si="1"/>
        <v>2</v>
      </c>
      <c r="I9" s="8">
        <f t="shared" si="2"/>
        <v>4</v>
      </c>
      <c r="J9">
        <f t="shared" si="3"/>
        <v>988</v>
      </c>
      <c r="K9">
        <f t="shared" si="4"/>
        <v>1580</v>
      </c>
      <c r="L9">
        <f t="shared" si="5"/>
        <v>592</v>
      </c>
      <c r="M9" t="str">
        <f t="shared" si="6"/>
        <v>Average</v>
      </c>
      <c r="N9" t="str">
        <f t="shared" si="7"/>
        <v>Medium Discount</v>
      </c>
    </row>
    <row r="10" spans="1:14" ht="14" customHeight="1" x14ac:dyDescent="0.3">
      <c r="A10" t="s">
        <v>28</v>
      </c>
      <c r="B10" s="4">
        <v>1274</v>
      </c>
      <c r="C10" t="s">
        <v>29</v>
      </c>
      <c r="D10" s="1">
        <v>0.55000000000000004</v>
      </c>
      <c r="E10">
        <v>-5</v>
      </c>
      <c r="F10" t="s">
        <v>21</v>
      </c>
      <c r="G10" t="str">
        <f t="shared" si="0"/>
        <v>High Discount</v>
      </c>
      <c r="H10" s="8">
        <f t="shared" si="1"/>
        <v>5</v>
      </c>
      <c r="I10" s="8">
        <f t="shared" si="2"/>
        <v>4.8</v>
      </c>
      <c r="J10">
        <f t="shared" si="3"/>
        <v>1274</v>
      </c>
      <c r="K10">
        <f t="shared" si="4"/>
        <v>2800</v>
      </c>
      <c r="L10">
        <f t="shared" si="5"/>
        <v>1526</v>
      </c>
      <c r="M10" t="str">
        <f t="shared" si="6"/>
        <v>Excellent</v>
      </c>
      <c r="N10" t="str">
        <f t="shared" si="7"/>
        <v>High Discount</v>
      </c>
    </row>
    <row r="11" spans="1:14" ht="14" customHeight="1" x14ac:dyDescent="0.3">
      <c r="A11" t="s">
        <v>30</v>
      </c>
      <c r="B11" s="4">
        <v>1600</v>
      </c>
      <c r="C11" t="s">
        <v>31</v>
      </c>
      <c r="D11" s="1">
        <v>0.45</v>
      </c>
      <c r="E11">
        <v>-5</v>
      </c>
      <c r="F11" t="s">
        <v>32</v>
      </c>
      <c r="G11" t="str">
        <f t="shared" si="0"/>
        <v>High Discount</v>
      </c>
      <c r="H11" s="8">
        <f t="shared" si="1"/>
        <v>5</v>
      </c>
      <c r="I11" s="8">
        <f t="shared" si="2"/>
        <v>3.8</v>
      </c>
      <c r="J11">
        <f t="shared" si="3"/>
        <v>1600</v>
      </c>
      <c r="K11">
        <f t="shared" si="4"/>
        <v>2929</v>
      </c>
      <c r="L11">
        <f t="shared" si="5"/>
        <v>1329</v>
      </c>
      <c r="M11" t="str">
        <f t="shared" si="6"/>
        <v>Average</v>
      </c>
      <c r="N11" t="str">
        <f t="shared" si="7"/>
        <v>High Discount</v>
      </c>
    </row>
    <row r="12" spans="1:14" ht="14" customHeight="1" x14ac:dyDescent="0.3">
      <c r="A12" t="s">
        <v>33</v>
      </c>
      <c r="B12">
        <v>799</v>
      </c>
      <c r="C12" t="s">
        <v>9</v>
      </c>
      <c r="D12" s="1">
        <v>0.2</v>
      </c>
      <c r="E12">
        <v>-12</v>
      </c>
      <c r="F12" t="s">
        <v>10</v>
      </c>
      <c r="G12" t="str">
        <f t="shared" si="0"/>
        <v>Medium Discount</v>
      </c>
      <c r="H12" s="8">
        <f t="shared" si="1"/>
        <v>12</v>
      </c>
      <c r="I12" s="8">
        <f t="shared" si="2"/>
        <v>4.0999999999999996</v>
      </c>
      <c r="J12">
        <f t="shared" si="3"/>
        <v>799</v>
      </c>
      <c r="K12">
        <f t="shared" si="4"/>
        <v>999</v>
      </c>
      <c r="L12">
        <f t="shared" si="5"/>
        <v>200</v>
      </c>
      <c r="M12" t="str">
        <f t="shared" si="6"/>
        <v>Average</v>
      </c>
      <c r="N12" t="str">
        <f t="shared" si="7"/>
        <v>Medium Discount</v>
      </c>
    </row>
    <row r="13" spans="1:14" ht="14" customHeight="1" x14ac:dyDescent="0.3">
      <c r="A13" t="s">
        <v>34</v>
      </c>
      <c r="B13">
        <v>990</v>
      </c>
      <c r="C13" t="s">
        <v>35</v>
      </c>
      <c r="D13" s="1">
        <v>0.34</v>
      </c>
      <c r="E13">
        <v>-39</v>
      </c>
      <c r="F13" t="s">
        <v>18</v>
      </c>
      <c r="G13" t="str">
        <f t="shared" si="0"/>
        <v>Medium Discount</v>
      </c>
      <c r="H13" s="8">
        <f t="shared" si="1"/>
        <v>39</v>
      </c>
      <c r="I13" s="8">
        <f t="shared" si="2"/>
        <v>4.7</v>
      </c>
      <c r="J13">
        <f t="shared" si="3"/>
        <v>990</v>
      </c>
      <c r="K13">
        <f t="shared" si="4"/>
        <v>1500</v>
      </c>
      <c r="L13">
        <f t="shared" si="5"/>
        <v>510</v>
      </c>
      <c r="M13" t="str">
        <f t="shared" si="6"/>
        <v>Excellent</v>
      </c>
      <c r="N13" t="str">
        <f t="shared" si="7"/>
        <v>Medium Discount</v>
      </c>
    </row>
    <row r="14" spans="1:14" ht="14" customHeight="1" x14ac:dyDescent="0.3">
      <c r="A14" t="s">
        <v>36</v>
      </c>
      <c r="B14">
        <v>552</v>
      </c>
      <c r="C14" t="s">
        <v>37</v>
      </c>
      <c r="D14" s="1">
        <v>0.47</v>
      </c>
      <c r="E14">
        <v>-12</v>
      </c>
      <c r="F14" t="s">
        <v>21</v>
      </c>
      <c r="G14" t="str">
        <f t="shared" si="0"/>
        <v>High Discount</v>
      </c>
      <c r="H14" s="8">
        <f t="shared" si="1"/>
        <v>12</v>
      </c>
      <c r="I14" s="8">
        <f t="shared" si="2"/>
        <v>4.8</v>
      </c>
      <c r="J14">
        <f t="shared" si="3"/>
        <v>552</v>
      </c>
      <c r="K14">
        <f t="shared" si="4"/>
        <v>1035</v>
      </c>
      <c r="L14">
        <f t="shared" si="5"/>
        <v>483</v>
      </c>
      <c r="M14" t="str">
        <f t="shared" si="6"/>
        <v>Excellent</v>
      </c>
      <c r="N14" t="str">
        <f t="shared" si="7"/>
        <v>High Discount</v>
      </c>
    </row>
    <row r="15" spans="1:14" ht="14" customHeight="1" x14ac:dyDescent="0.3">
      <c r="A15" t="s">
        <v>38</v>
      </c>
      <c r="B15">
        <v>501</v>
      </c>
      <c r="C15" t="s">
        <v>39</v>
      </c>
      <c r="D15" s="1">
        <v>0.42</v>
      </c>
      <c r="E15">
        <v>-6</v>
      </c>
      <c r="F15" t="s">
        <v>7</v>
      </c>
      <c r="G15" t="str">
        <f t="shared" si="0"/>
        <v>High Discount</v>
      </c>
      <c r="H15" s="8">
        <f t="shared" si="1"/>
        <v>6</v>
      </c>
      <c r="I15" s="8">
        <f t="shared" si="2"/>
        <v>4.5</v>
      </c>
      <c r="J15">
        <f t="shared" si="3"/>
        <v>501</v>
      </c>
      <c r="K15">
        <f t="shared" si="4"/>
        <v>860</v>
      </c>
      <c r="L15">
        <f t="shared" si="5"/>
        <v>359</v>
      </c>
      <c r="M15" t="str">
        <f t="shared" si="6"/>
        <v>Excellent</v>
      </c>
      <c r="N15" t="str">
        <f t="shared" si="7"/>
        <v>High Discount</v>
      </c>
    </row>
    <row r="16" spans="1:14" ht="14" customHeight="1" x14ac:dyDescent="0.3">
      <c r="A16" t="s">
        <v>40</v>
      </c>
      <c r="B16" s="4">
        <v>1680</v>
      </c>
      <c r="C16" t="s">
        <v>17</v>
      </c>
      <c r="D16" s="1">
        <v>0.33</v>
      </c>
      <c r="E16">
        <v>-9</v>
      </c>
      <c r="F16" t="s">
        <v>41</v>
      </c>
      <c r="G16" t="str">
        <f t="shared" si="0"/>
        <v>Medium Discount</v>
      </c>
      <c r="H16" s="8">
        <f t="shared" si="1"/>
        <v>9</v>
      </c>
      <c r="I16" s="8">
        <f t="shared" si="2"/>
        <v>4.2</v>
      </c>
      <c r="J16">
        <f t="shared" si="3"/>
        <v>1680</v>
      </c>
      <c r="K16">
        <f t="shared" si="4"/>
        <v>2499</v>
      </c>
      <c r="L16">
        <f t="shared" si="5"/>
        <v>819</v>
      </c>
      <c r="M16" t="str">
        <f t="shared" si="6"/>
        <v>Average</v>
      </c>
      <c r="N16" t="str">
        <f t="shared" si="7"/>
        <v>Medium Discount</v>
      </c>
    </row>
    <row r="17" spans="1:14" ht="14" customHeight="1" x14ac:dyDescent="0.3">
      <c r="A17" t="s">
        <v>42</v>
      </c>
      <c r="B17">
        <v>332</v>
      </c>
      <c r="C17" t="s">
        <v>43</v>
      </c>
      <c r="D17" s="1">
        <v>0.51</v>
      </c>
      <c r="E17">
        <v>-2</v>
      </c>
      <c r="F17" t="s">
        <v>44</v>
      </c>
      <c r="G17" t="str">
        <f t="shared" si="0"/>
        <v>High Discount</v>
      </c>
      <c r="H17" s="8">
        <f t="shared" si="1"/>
        <v>2</v>
      </c>
      <c r="I17" s="8">
        <f t="shared" si="2"/>
        <v>5</v>
      </c>
      <c r="J17">
        <f t="shared" si="3"/>
        <v>332</v>
      </c>
      <c r="K17">
        <f t="shared" si="4"/>
        <v>684</v>
      </c>
      <c r="L17">
        <f t="shared" si="5"/>
        <v>352</v>
      </c>
      <c r="M17" t="str">
        <f t="shared" si="6"/>
        <v>Excellent</v>
      </c>
      <c r="N17" t="str">
        <f t="shared" si="7"/>
        <v>High Discount</v>
      </c>
    </row>
    <row r="18" spans="1:14" ht="14" customHeight="1" x14ac:dyDescent="0.3">
      <c r="A18" t="s">
        <v>45</v>
      </c>
      <c r="B18">
        <v>195</v>
      </c>
      <c r="C18" t="s">
        <v>46</v>
      </c>
      <c r="D18" s="1">
        <v>0.46</v>
      </c>
      <c r="E18">
        <v>-2</v>
      </c>
      <c r="F18" t="s">
        <v>44</v>
      </c>
      <c r="G18" t="str">
        <f t="shared" si="0"/>
        <v>High Discount</v>
      </c>
      <c r="H18" s="8">
        <f t="shared" si="1"/>
        <v>2</v>
      </c>
      <c r="I18" s="8">
        <f t="shared" si="2"/>
        <v>5</v>
      </c>
      <c r="J18">
        <f t="shared" si="3"/>
        <v>195</v>
      </c>
      <c r="K18">
        <f t="shared" si="4"/>
        <v>360</v>
      </c>
      <c r="L18">
        <f t="shared" si="5"/>
        <v>165</v>
      </c>
      <c r="M18" t="str">
        <f t="shared" si="6"/>
        <v>Excellent</v>
      </c>
      <c r="N18" t="str">
        <f t="shared" si="7"/>
        <v>High Discount</v>
      </c>
    </row>
    <row r="19" spans="1:14" ht="14" customHeight="1" x14ac:dyDescent="0.3">
      <c r="A19" t="s">
        <v>47</v>
      </c>
      <c r="B19" s="4">
        <v>2025</v>
      </c>
      <c r="C19" t="s">
        <v>48</v>
      </c>
      <c r="D19" s="1">
        <v>0.49</v>
      </c>
      <c r="E19">
        <v>-3</v>
      </c>
      <c r="F19" t="s">
        <v>44</v>
      </c>
      <c r="G19" t="str">
        <f t="shared" si="0"/>
        <v>High Discount</v>
      </c>
      <c r="H19" s="8">
        <f t="shared" si="1"/>
        <v>3</v>
      </c>
      <c r="I19" s="8">
        <f t="shared" si="2"/>
        <v>5</v>
      </c>
      <c r="J19">
        <f t="shared" si="3"/>
        <v>2025</v>
      </c>
      <c r="K19">
        <f t="shared" si="4"/>
        <v>3971</v>
      </c>
      <c r="L19">
        <f t="shared" si="5"/>
        <v>1946</v>
      </c>
      <c r="M19" t="str">
        <f t="shared" si="6"/>
        <v>Excellent</v>
      </c>
      <c r="N19" t="str">
        <f t="shared" si="7"/>
        <v>High Discount</v>
      </c>
    </row>
    <row r="20" spans="1:14" ht="14" customHeight="1" x14ac:dyDescent="0.3">
      <c r="A20" t="s">
        <v>49</v>
      </c>
      <c r="B20" s="4">
        <v>2999</v>
      </c>
      <c r="C20" t="s">
        <v>50</v>
      </c>
      <c r="D20" s="1">
        <v>0.19</v>
      </c>
      <c r="E20">
        <v>-5</v>
      </c>
      <c r="F20" t="s">
        <v>14</v>
      </c>
      <c r="G20" t="str">
        <f t="shared" si="0"/>
        <v>Low Discount</v>
      </c>
      <c r="H20" s="8">
        <f t="shared" si="1"/>
        <v>5</v>
      </c>
      <c r="I20" s="8">
        <f t="shared" si="2"/>
        <v>4.5999999999999996</v>
      </c>
      <c r="J20">
        <f t="shared" si="3"/>
        <v>2999</v>
      </c>
      <c r="K20">
        <f t="shared" si="4"/>
        <v>3699</v>
      </c>
      <c r="L20">
        <f t="shared" si="5"/>
        <v>700</v>
      </c>
      <c r="M20" t="str">
        <f t="shared" si="6"/>
        <v>Excellent</v>
      </c>
      <c r="N20" t="str">
        <f t="shared" si="7"/>
        <v>Low Discount</v>
      </c>
    </row>
    <row r="21" spans="1:14" ht="14" customHeight="1" x14ac:dyDescent="0.3">
      <c r="A21" t="s">
        <v>51</v>
      </c>
      <c r="B21">
        <v>998</v>
      </c>
      <c r="C21" t="s">
        <v>52</v>
      </c>
      <c r="D21" s="1">
        <v>0.49</v>
      </c>
      <c r="E21">
        <v>-44</v>
      </c>
      <c r="F21" t="s">
        <v>14</v>
      </c>
      <c r="G21" t="str">
        <f t="shared" si="0"/>
        <v>High Discount</v>
      </c>
      <c r="H21" s="8">
        <f t="shared" si="1"/>
        <v>44</v>
      </c>
      <c r="I21" s="8">
        <f t="shared" si="2"/>
        <v>4.5999999999999996</v>
      </c>
      <c r="J21">
        <f t="shared" si="3"/>
        <v>998</v>
      </c>
      <c r="K21">
        <f t="shared" si="4"/>
        <v>1966</v>
      </c>
      <c r="L21">
        <f t="shared" si="5"/>
        <v>968</v>
      </c>
      <c r="M21" t="str">
        <f t="shared" si="6"/>
        <v>Excellent</v>
      </c>
      <c r="N21" t="str">
        <f t="shared" si="7"/>
        <v>High Discount</v>
      </c>
    </row>
    <row r="22" spans="1:14" ht="14" customHeight="1" x14ac:dyDescent="0.3">
      <c r="A22" t="s">
        <v>53</v>
      </c>
      <c r="B22">
        <v>38</v>
      </c>
      <c r="C22" t="s">
        <v>54</v>
      </c>
      <c r="D22" s="1">
        <v>0.53</v>
      </c>
      <c r="E22">
        <v>-13</v>
      </c>
      <c r="F22" t="s">
        <v>55</v>
      </c>
      <c r="G22" t="str">
        <f t="shared" si="0"/>
        <v>High Discount</v>
      </c>
      <c r="H22" s="8">
        <f t="shared" si="1"/>
        <v>13</v>
      </c>
      <c r="I22" s="8">
        <f t="shared" si="2"/>
        <v>3.3</v>
      </c>
      <c r="J22">
        <f t="shared" si="3"/>
        <v>38</v>
      </c>
      <c r="K22">
        <f t="shared" si="4"/>
        <v>80</v>
      </c>
      <c r="L22">
        <f t="shared" si="5"/>
        <v>42</v>
      </c>
      <c r="M22" t="str">
        <f t="shared" si="6"/>
        <v>Average</v>
      </c>
      <c r="N22" t="str">
        <f t="shared" si="7"/>
        <v>High Discount</v>
      </c>
    </row>
    <row r="23" spans="1:14" ht="14" customHeight="1" x14ac:dyDescent="0.3">
      <c r="A23" t="s">
        <v>56</v>
      </c>
      <c r="B23" s="4">
        <v>1860</v>
      </c>
      <c r="C23" t="s">
        <v>57</v>
      </c>
      <c r="D23" s="1">
        <v>0.42</v>
      </c>
      <c r="G23" t="str">
        <f t="shared" si="0"/>
        <v>High Discount</v>
      </c>
      <c r="H23" s="8">
        <f t="shared" si="1"/>
        <v>0</v>
      </c>
      <c r="I23" s="8" t="str">
        <f t="shared" si="2"/>
        <v/>
      </c>
      <c r="J23">
        <f t="shared" si="3"/>
        <v>1860</v>
      </c>
      <c r="K23">
        <f t="shared" si="4"/>
        <v>3220</v>
      </c>
      <c r="L23">
        <f t="shared" si="5"/>
        <v>1360</v>
      </c>
      <c r="M23" t="str">
        <f t="shared" si="6"/>
        <v>Excellent</v>
      </c>
      <c r="N23" t="str">
        <f t="shared" si="7"/>
        <v>High Discount</v>
      </c>
    </row>
    <row r="24" spans="1:14" ht="14" customHeight="1" x14ac:dyDescent="0.3">
      <c r="A24" t="s">
        <v>58</v>
      </c>
      <c r="B24">
        <v>880</v>
      </c>
      <c r="C24" t="s">
        <v>59</v>
      </c>
      <c r="D24" s="1">
        <v>0.35</v>
      </c>
      <c r="E24">
        <v>-6</v>
      </c>
      <c r="F24" t="s">
        <v>24</v>
      </c>
      <c r="G24" t="str">
        <f t="shared" si="0"/>
        <v>Medium Discount</v>
      </c>
      <c r="H24" s="8">
        <f t="shared" si="1"/>
        <v>6</v>
      </c>
      <c r="I24" s="8">
        <f t="shared" si="2"/>
        <v>4</v>
      </c>
      <c r="J24">
        <f t="shared" si="3"/>
        <v>880</v>
      </c>
      <c r="K24">
        <f t="shared" si="4"/>
        <v>1350</v>
      </c>
      <c r="L24">
        <f t="shared" si="5"/>
        <v>470</v>
      </c>
      <c r="M24" t="str">
        <f t="shared" si="6"/>
        <v>Average</v>
      </c>
      <c r="N24" t="str">
        <f t="shared" si="7"/>
        <v>Medium Discount</v>
      </c>
    </row>
    <row r="25" spans="1:14" ht="14" customHeight="1" x14ac:dyDescent="0.3">
      <c r="A25" t="s">
        <v>60</v>
      </c>
      <c r="B25" s="4">
        <v>1650</v>
      </c>
      <c r="C25" t="s">
        <v>61</v>
      </c>
      <c r="D25" s="1">
        <v>0.23</v>
      </c>
      <c r="E25">
        <v>-14</v>
      </c>
      <c r="F25" t="s">
        <v>62</v>
      </c>
      <c r="G25" t="str">
        <f t="shared" si="0"/>
        <v>Medium Discount</v>
      </c>
      <c r="H25" s="8">
        <f t="shared" si="1"/>
        <v>14</v>
      </c>
      <c r="I25" s="8">
        <f t="shared" si="2"/>
        <v>4.4000000000000004</v>
      </c>
      <c r="J25">
        <f t="shared" si="3"/>
        <v>1650</v>
      </c>
      <c r="K25">
        <f t="shared" si="4"/>
        <v>2150</v>
      </c>
      <c r="L25">
        <f t="shared" si="5"/>
        <v>500</v>
      </c>
      <c r="M25" t="str">
        <f t="shared" si="6"/>
        <v>Average</v>
      </c>
      <c r="N25" t="str">
        <f t="shared" si="7"/>
        <v>Medium Discount</v>
      </c>
    </row>
    <row r="26" spans="1:14" ht="13" x14ac:dyDescent="0.3">
      <c r="A26" t="s">
        <v>63</v>
      </c>
      <c r="B26" s="4">
        <v>2048</v>
      </c>
      <c r="C26" t="s">
        <v>64</v>
      </c>
      <c r="D26" s="1">
        <v>0.54</v>
      </c>
      <c r="E26">
        <v>-7</v>
      </c>
      <c r="F26" t="s">
        <v>65</v>
      </c>
      <c r="G26" t="str">
        <f t="shared" si="0"/>
        <v>High Discount</v>
      </c>
      <c r="H26" s="8">
        <f t="shared" si="1"/>
        <v>7</v>
      </c>
      <c r="I26" s="8">
        <f t="shared" si="2"/>
        <v>4.3</v>
      </c>
      <c r="J26">
        <f t="shared" si="3"/>
        <v>2048</v>
      </c>
      <c r="K26">
        <f t="shared" si="4"/>
        <v>4500</v>
      </c>
      <c r="L26">
        <f t="shared" si="5"/>
        <v>2452</v>
      </c>
      <c r="M26" t="str">
        <f t="shared" si="6"/>
        <v>Average</v>
      </c>
      <c r="N26" t="str">
        <f t="shared" si="7"/>
        <v>High Discount</v>
      </c>
    </row>
    <row r="27" spans="1:14" ht="13" x14ac:dyDescent="0.3">
      <c r="A27" t="s">
        <v>66</v>
      </c>
      <c r="B27">
        <v>420</v>
      </c>
      <c r="C27" t="s">
        <v>67</v>
      </c>
      <c r="D27" s="1">
        <v>0.35</v>
      </c>
      <c r="E27">
        <v>-49</v>
      </c>
      <c r="F27" t="s">
        <v>14</v>
      </c>
      <c r="G27" t="str">
        <f t="shared" si="0"/>
        <v>Medium Discount</v>
      </c>
      <c r="H27" s="8">
        <f t="shared" si="1"/>
        <v>49</v>
      </c>
      <c r="I27" s="8">
        <f t="shared" si="2"/>
        <v>4.5999999999999996</v>
      </c>
      <c r="J27">
        <f t="shared" si="3"/>
        <v>420</v>
      </c>
      <c r="K27">
        <f t="shared" si="4"/>
        <v>647</v>
      </c>
      <c r="L27">
        <f t="shared" si="5"/>
        <v>227</v>
      </c>
      <c r="M27" t="str">
        <f t="shared" si="6"/>
        <v>Excellent</v>
      </c>
      <c r="N27" t="str">
        <f t="shared" si="7"/>
        <v>Medium Discount</v>
      </c>
    </row>
    <row r="28" spans="1:14" ht="13" x14ac:dyDescent="0.3">
      <c r="A28" t="s">
        <v>68</v>
      </c>
      <c r="B28" s="4">
        <v>2880</v>
      </c>
      <c r="C28" t="s">
        <v>69</v>
      </c>
      <c r="D28" s="1">
        <v>0.18</v>
      </c>
      <c r="E28">
        <v>-12</v>
      </c>
      <c r="F28" t="s">
        <v>32</v>
      </c>
      <c r="G28" t="str">
        <f t="shared" si="0"/>
        <v>Low Discount</v>
      </c>
      <c r="H28" s="8">
        <f t="shared" si="1"/>
        <v>12</v>
      </c>
      <c r="I28" s="8">
        <f t="shared" si="2"/>
        <v>3.8</v>
      </c>
      <c r="J28">
        <f t="shared" si="3"/>
        <v>2880</v>
      </c>
      <c r="K28">
        <f t="shared" si="4"/>
        <v>3520</v>
      </c>
      <c r="L28">
        <f t="shared" si="5"/>
        <v>640</v>
      </c>
      <c r="M28" t="str">
        <f t="shared" si="6"/>
        <v>Average</v>
      </c>
      <c r="N28" t="str">
        <f t="shared" si="7"/>
        <v>Low Discount</v>
      </c>
    </row>
    <row r="29" spans="1:14" ht="13" x14ac:dyDescent="0.3">
      <c r="A29" t="s">
        <v>70</v>
      </c>
      <c r="B29" s="4">
        <v>1350</v>
      </c>
      <c r="C29" t="s">
        <v>71</v>
      </c>
      <c r="D29" s="1">
        <v>0.32</v>
      </c>
      <c r="E29">
        <v>-13</v>
      </c>
      <c r="F29" t="s">
        <v>32</v>
      </c>
      <c r="G29" t="str">
        <f t="shared" si="0"/>
        <v>Medium Discount</v>
      </c>
      <c r="H29" s="8">
        <f t="shared" si="1"/>
        <v>13</v>
      </c>
      <c r="I29" s="8">
        <f t="shared" si="2"/>
        <v>3.8</v>
      </c>
      <c r="J29">
        <f t="shared" si="3"/>
        <v>1350</v>
      </c>
      <c r="K29">
        <f t="shared" si="4"/>
        <v>1990</v>
      </c>
      <c r="L29">
        <f t="shared" si="5"/>
        <v>640</v>
      </c>
      <c r="M29" t="str">
        <f t="shared" si="6"/>
        <v>Average</v>
      </c>
      <c r="N29" t="str">
        <f t="shared" si="7"/>
        <v>Medium Discount</v>
      </c>
    </row>
    <row r="30" spans="1:14" ht="13" x14ac:dyDescent="0.3">
      <c r="A30" t="s">
        <v>72</v>
      </c>
      <c r="B30" s="4">
        <v>1758</v>
      </c>
      <c r="C30" t="s">
        <v>17</v>
      </c>
      <c r="D30" s="1">
        <v>0.3</v>
      </c>
      <c r="E30">
        <v>-20</v>
      </c>
      <c r="F30" t="s">
        <v>10</v>
      </c>
      <c r="G30" t="str">
        <f t="shared" si="0"/>
        <v>Medium Discount</v>
      </c>
      <c r="H30" s="8">
        <f t="shared" si="1"/>
        <v>20</v>
      </c>
      <c r="I30" s="8">
        <f t="shared" si="2"/>
        <v>4.0999999999999996</v>
      </c>
      <c r="J30">
        <f t="shared" si="3"/>
        <v>1758</v>
      </c>
      <c r="K30">
        <f t="shared" si="4"/>
        <v>2499</v>
      </c>
      <c r="L30">
        <f t="shared" si="5"/>
        <v>741</v>
      </c>
      <c r="M30" t="str">
        <f t="shared" si="6"/>
        <v>Average</v>
      </c>
      <c r="N30" t="str">
        <f t="shared" si="7"/>
        <v>Medium Discount</v>
      </c>
    </row>
    <row r="31" spans="1:14" ht="13" x14ac:dyDescent="0.3">
      <c r="A31" t="s">
        <v>73</v>
      </c>
      <c r="B31" s="4">
        <v>2200</v>
      </c>
      <c r="C31" t="s">
        <v>74</v>
      </c>
      <c r="D31" s="1">
        <v>0.46</v>
      </c>
      <c r="G31" t="str">
        <f t="shared" si="0"/>
        <v>High Discount</v>
      </c>
      <c r="H31" s="8">
        <f t="shared" si="1"/>
        <v>0</v>
      </c>
      <c r="I31" s="8" t="str">
        <f t="shared" si="2"/>
        <v/>
      </c>
      <c r="J31">
        <f t="shared" si="3"/>
        <v>2200</v>
      </c>
      <c r="K31">
        <f t="shared" si="4"/>
        <v>4080</v>
      </c>
      <c r="L31">
        <f t="shared" si="5"/>
        <v>1880</v>
      </c>
      <c r="M31" t="str">
        <f t="shared" si="6"/>
        <v>Excellent</v>
      </c>
      <c r="N31" t="str">
        <f t="shared" si="7"/>
        <v>High Discount</v>
      </c>
    </row>
    <row r="32" spans="1:14" ht="13" x14ac:dyDescent="0.3">
      <c r="A32" t="s">
        <v>75</v>
      </c>
      <c r="B32">
        <v>185</v>
      </c>
      <c r="C32" t="s">
        <v>76</v>
      </c>
      <c r="D32" s="1">
        <v>0.52</v>
      </c>
      <c r="E32">
        <v>-9</v>
      </c>
      <c r="F32" t="s">
        <v>65</v>
      </c>
      <c r="G32" t="str">
        <f t="shared" si="0"/>
        <v>High Discount</v>
      </c>
      <c r="H32" s="8">
        <f t="shared" si="1"/>
        <v>9</v>
      </c>
      <c r="I32" s="8">
        <f t="shared" si="2"/>
        <v>4.3</v>
      </c>
      <c r="J32">
        <f t="shared" si="3"/>
        <v>185</v>
      </c>
      <c r="K32">
        <f t="shared" si="4"/>
        <v>382</v>
      </c>
      <c r="L32">
        <f t="shared" si="5"/>
        <v>197</v>
      </c>
      <c r="M32" t="str">
        <f t="shared" si="6"/>
        <v>Average</v>
      </c>
      <c r="N32" t="str">
        <f t="shared" si="7"/>
        <v>High Discount</v>
      </c>
    </row>
    <row r="33" spans="1:14" ht="13" x14ac:dyDescent="0.3">
      <c r="A33" t="s">
        <v>77</v>
      </c>
      <c r="B33">
        <v>980</v>
      </c>
      <c r="C33" t="s">
        <v>78</v>
      </c>
      <c r="D33" s="1">
        <v>0.34</v>
      </c>
      <c r="E33">
        <v>-12</v>
      </c>
      <c r="F33" t="s">
        <v>18</v>
      </c>
      <c r="G33" t="str">
        <f t="shared" si="0"/>
        <v>Medium Discount</v>
      </c>
      <c r="H33" s="8">
        <f t="shared" si="1"/>
        <v>12</v>
      </c>
      <c r="I33" s="8">
        <f t="shared" si="2"/>
        <v>4.7</v>
      </c>
      <c r="J33">
        <f t="shared" si="3"/>
        <v>980</v>
      </c>
      <c r="K33">
        <f t="shared" si="4"/>
        <v>1490</v>
      </c>
      <c r="L33">
        <f t="shared" si="5"/>
        <v>510</v>
      </c>
      <c r="M33" t="str">
        <f t="shared" si="6"/>
        <v>Excellent</v>
      </c>
      <c r="N33" t="str">
        <f t="shared" si="7"/>
        <v>Medium Discount</v>
      </c>
    </row>
    <row r="34" spans="1:14" ht="13" x14ac:dyDescent="0.3">
      <c r="A34" t="s">
        <v>79</v>
      </c>
      <c r="B34" s="4">
        <v>1820</v>
      </c>
      <c r="C34" t="s">
        <v>80</v>
      </c>
      <c r="D34" s="1">
        <v>0.48</v>
      </c>
      <c r="E34">
        <v>-9</v>
      </c>
      <c r="F34" t="s">
        <v>65</v>
      </c>
      <c r="G34" t="str">
        <f t="shared" ref="G34:G65" si="8">IF(ISBLANK(D34),"",IF(D34&lt;20%,"Low Discount",IF(D34&lt;=40%,"Medium Discount","High Discount")))</f>
        <v>High Discount</v>
      </c>
      <c r="H34" s="8">
        <f t="shared" ref="H34:H65" si="9">IFERROR(ABS(E34),"No Review")</f>
        <v>9</v>
      </c>
      <c r="I34" s="8">
        <f t="shared" si="2"/>
        <v>4.3</v>
      </c>
      <c r="J34">
        <f t="shared" si="3"/>
        <v>1820</v>
      </c>
      <c r="K34">
        <f t="shared" si="4"/>
        <v>3490</v>
      </c>
      <c r="L34">
        <f t="shared" si="5"/>
        <v>1670</v>
      </c>
      <c r="M34" t="str">
        <f t="shared" si="6"/>
        <v>Average</v>
      </c>
      <c r="N34" t="str">
        <f t="shared" si="7"/>
        <v>High Discount</v>
      </c>
    </row>
    <row r="35" spans="1:14" ht="13" x14ac:dyDescent="0.3">
      <c r="A35" t="s">
        <v>81</v>
      </c>
      <c r="B35" s="4">
        <v>1940</v>
      </c>
      <c r="C35" t="s">
        <v>82</v>
      </c>
      <c r="D35" s="1">
        <v>0.27</v>
      </c>
      <c r="E35">
        <v>-20</v>
      </c>
      <c r="F35" t="s">
        <v>18</v>
      </c>
      <c r="G35" t="str">
        <f t="shared" si="8"/>
        <v>Medium Discount</v>
      </c>
      <c r="H35" s="8">
        <f t="shared" si="9"/>
        <v>20</v>
      </c>
      <c r="I35" s="8">
        <f t="shared" si="2"/>
        <v>4.7</v>
      </c>
      <c r="J35">
        <f t="shared" ref="J35:J66" si="10">IF(ISBLANK(B35),"",VALUE(SUBSTITUTE(SUBSTITUTE(B35,"KSh ",""),",","")))</f>
        <v>1940</v>
      </c>
      <c r="K35">
        <f t="shared" si="4"/>
        <v>2650</v>
      </c>
      <c r="L35">
        <f t="shared" si="5"/>
        <v>710</v>
      </c>
      <c r="M35" t="str">
        <f t="shared" si="6"/>
        <v>Excellent</v>
      </c>
      <c r="N35" t="str">
        <f t="shared" si="7"/>
        <v>Medium Discount</v>
      </c>
    </row>
    <row r="36" spans="1:14" ht="13" x14ac:dyDescent="0.3">
      <c r="A36" t="s">
        <v>83</v>
      </c>
      <c r="B36" s="4">
        <v>1980</v>
      </c>
      <c r="C36" t="s">
        <v>84</v>
      </c>
      <c r="D36" s="1">
        <v>0.27</v>
      </c>
      <c r="E36">
        <v>-32</v>
      </c>
      <c r="F36" t="s">
        <v>7</v>
      </c>
      <c r="G36" t="str">
        <f t="shared" si="8"/>
        <v>Medium Discount</v>
      </c>
      <c r="H36" s="8">
        <f t="shared" si="9"/>
        <v>32</v>
      </c>
      <c r="I36" s="8">
        <f t="shared" si="2"/>
        <v>4.5</v>
      </c>
      <c r="J36">
        <f t="shared" si="10"/>
        <v>1980</v>
      </c>
      <c r="K36">
        <f t="shared" si="4"/>
        <v>2699</v>
      </c>
      <c r="L36">
        <f t="shared" si="5"/>
        <v>719</v>
      </c>
      <c r="M36" t="str">
        <f t="shared" si="6"/>
        <v>Excellent</v>
      </c>
      <c r="N36" t="str">
        <f t="shared" si="7"/>
        <v>Medium Discount</v>
      </c>
    </row>
    <row r="37" spans="1:14" ht="13" x14ac:dyDescent="0.3">
      <c r="A37" t="s">
        <v>85</v>
      </c>
      <c r="B37" s="4">
        <v>1620</v>
      </c>
      <c r="C37" t="s">
        <v>86</v>
      </c>
      <c r="D37" s="1">
        <v>0.4</v>
      </c>
      <c r="E37">
        <v>-1</v>
      </c>
      <c r="F37" t="s">
        <v>44</v>
      </c>
      <c r="G37" t="str">
        <f t="shared" si="8"/>
        <v>Medium Discount</v>
      </c>
      <c r="H37" s="8">
        <f t="shared" si="9"/>
        <v>1</v>
      </c>
      <c r="I37" s="8">
        <f t="shared" si="2"/>
        <v>5</v>
      </c>
      <c r="J37">
        <f t="shared" si="10"/>
        <v>1620</v>
      </c>
      <c r="K37">
        <f t="shared" si="4"/>
        <v>2690</v>
      </c>
      <c r="L37">
        <f t="shared" si="5"/>
        <v>1070</v>
      </c>
      <c r="M37" t="str">
        <f t="shared" si="6"/>
        <v>Excellent</v>
      </c>
      <c r="N37" t="str">
        <f t="shared" si="7"/>
        <v>Medium Discount</v>
      </c>
    </row>
    <row r="38" spans="1:14" ht="13" x14ac:dyDescent="0.3">
      <c r="A38" t="s">
        <v>87</v>
      </c>
      <c r="B38">
        <v>171</v>
      </c>
      <c r="C38" t="s">
        <v>46</v>
      </c>
      <c r="D38" s="1">
        <v>0.53</v>
      </c>
      <c r="E38">
        <v>-2</v>
      </c>
      <c r="F38" t="s">
        <v>44</v>
      </c>
      <c r="G38" t="str">
        <f t="shared" si="8"/>
        <v>High Discount</v>
      </c>
      <c r="H38" s="8">
        <f t="shared" si="9"/>
        <v>2</v>
      </c>
      <c r="I38" s="8">
        <f t="shared" si="2"/>
        <v>5</v>
      </c>
      <c r="J38">
        <f t="shared" si="10"/>
        <v>171</v>
      </c>
      <c r="K38">
        <f t="shared" si="4"/>
        <v>360</v>
      </c>
      <c r="L38">
        <f t="shared" si="5"/>
        <v>189</v>
      </c>
      <c r="M38" t="str">
        <f t="shared" si="6"/>
        <v>Excellent</v>
      </c>
      <c r="N38" t="str">
        <f t="shared" si="7"/>
        <v>High Discount</v>
      </c>
    </row>
    <row r="39" spans="1:14" ht="13" x14ac:dyDescent="0.3">
      <c r="A39" t="s">
        <v>88</v>
      </c>
      <c r="B39">
        <v>389</v>
      </c>
      <c r="C39" t="s">
        <v>89</v>
      </c>
      <c r="D39" s="1">
        <v>0.41</v>
      </c>
      <c r="E39">
        <v>-36</v>
      </c>
      <c r="F39" t="s">
        <v>65</v>
      </c>
      <c r="G39" t="str">
        <f t="shared" si="8"/>
        <v>High Discount</v>
      </c>
      <c r="H39" s="8">
        <f t="shared" si="9"/>
        <v>36</v>
      </c>
      <c r="I39" s="8">
        <f t="shared" si="2"/>
        <v>4.3</v>
      </c>
      <c r="J39">
        <f t="shared" si="10"/>
        <v>389</v>
      </c>
      <c r="K39">
        <f t="shared" si="4"/>
        <v>656</v>
      </c>
      <c r="L39">
        <f t="shared" si="5"/>
        <v>267</v>
      </c>
      <c r="M39" t="str">
        <f t="shared" si="6"/>
        <v>Average</v>
      </c>
      <c r="N39" t="str">
        <f t="shared" si="7"/>
        <v>High Discount</v>
      </c>
    </row>
    <row r="40" spans="1:14" ht="13" x14ac:dyDescent="0.3">
      <c r="A40" t="s">
        <v>90</v>
      </c>
      <c r="B40" s="4">
        <v>1800</v>
      </c>
      <c r="C40" t="s">
        <v>261</v>
      </c>
      <c r="D40" s="1">
        <v>0.38</v>
      </c>
      <c r="E40">
        <v>-2</v>
      </c>
      <c r="F40" t="s">
        <v>7</v>
      </c>
      <c r="G40" t="str">
        <f t="shared" si="8"/>
        <v>Medium Discount</v>
      </c>
      <c r="H40" s="8">
        <f t="shared" si="9"/>
        <v>2</v>
      </c>
      <c r="I40" s="8">
        <f t="shared" si="2"/>
        <v>4.5</v>
      </c>
      <c r="J40">
        <f t="shared" si="10"/>
        <v>1800</v>
      </c>
      <c r="K40">
        <f t="shared" si="4"/>
        <v>2700</v>
      </c>
      <c r="L40">
        <f t="shared" si="5"/>
        <v>900</v>
      </c>
      <c r="M40" t="str">
        <f t="shared" si="6"/>
        <v>Excellent</v>
      </c>
      <c r="N40" t="str">
        <f t="shared" si="7"/>
        <v>Medium Discount</v>
      </c>
    </row>
    <row r="41" spans="1:14" ht="13" x14ac:dyDescent="0.3">
      <c r="A41" t="s">
        <v>91</v>
      </c>
      <c r="B41" s="4">
        <v>2750</v>
      </c>
      <c r="C41" t="s">
        <v>92</v>
      </c>
      <c r="D41" s="1">
        <v>0.38</v>
      </c>
      <c r="G41" t="str">
        <f t="shared" si="8"/>
        <v>Medium Discount</v>
      </c>
      <c r="H41" s="8">
        <f t="shared" si="9"/>
        <v>0</v>
      </c>
      <c r="I41" s="8" t="str">
        <f t="shared" si="2"/>
        <v/>
      </c>
      <c r="J41">
        <f t="shared" si="10"/>
        <v>2750</v>
      </c>
      <c r="K41">
        <f t="shared" si="4"/>
        <v>4471</v>
      </c>
      <c r="L41">
        <f t="shared" si="5"/>
        <v>1721</v>
      </c>
      <c r="M41" t="str">
        <f t="shared" si="6"/>
        <v>Excellent</v>
      </c>
      <c r="N41" t="str">
        <f t="shared" si="7"/>
        <v>Medium Discount</v>
      </c>
    </row>
    <row r="42" spans="1:14" ht="13" x14ac:dyDescent="0.3">
      <c r="A42" t="s">
        <v>93</v>
      </c>
      <c r="B42">
        <v>475</v>
      </c>
      <c r="C42" t="s">
        <v>94</v>
      </c>
      <c r="D42" s="1">
        <v>0.49</v>
      </c>
      <c r="G42" t="str">
        <f t="shared" si="8"/>
        <v>High Discount</v>
      </c>
      <c r="H42" s="8">
        <f t="shared" si="9"/>
        <v>0</v>
      </c>
      <c r="I42" s="8" t="str">
        <f t="shared" si="2"/>
        <v/>
      </c>
      <c r="J42">
        <f t="shared" si="10"/>
        <v>475</v>
      </c>
      <c r="K42">
        <f t="shared" si="4"/>
        <v>931</v>
      </c>
      <c r="L42">
        <f t="shared" si="5"/>
        <v>456</v>
      </c>
      <c r="M42" t="str">
        <f t="shared" si="6"/>
        <v>Excellent</v>
      </c>
      <c r="N42" t="str">
        <f t="shared" si="7"/>
        <v>High Discount</v>
      </c>
    </row>
    <row r="43" spans="1:14" ht="13" x14ac:dyDescent="0.3">
      <c r="A43" t="s">
        <v>95</v>
      </c>
      <c r="B43">
        <v>238</v>
      </c>
      <c r="C43" t="s">
        <v>96</v>
      </c>
      <c r="D43" s="1">
        <v>0.5</v>
      </c>
      <c r="G43" t="str">
        <f t="shared" si="8"/>
        <v>High Discount</v>
      </c>
      <c r="H43" s="8">
        <f t="shared" si="9"/>
        <v>0</v>
      </c>
      <c r="I43" s="8" t="str">
        <f t="shared" si="2"/>
        <v/>
      </c>
      <c r="J43">
        <f t="shared" si="10"/>
        <v>238</v>
      </c>
      <c r="K43">
        <f t="shared" si="4"/>
        <v>476</v>
      </c>
      <c r="L43">
        <f t="shared" si="5"/>
        <v>238</v>
      </c>
      <c r="M43" t="str">
        <f t="shared" si="6"/>
        <v>Excellent</v>
      </c>
      <c r="N43" t="str">
        <f t="shared" si="7"/>
        <v>High Discount</v>
      </c>
    </row>
    <row r="44" spans="1:14" ht="13" x14ac:dyDescent="0.3">
      <c r="A44" t="s">
        <v>97</v>
      </c>
      <c r="B44">
        <v>610</v>
      </c>
      <c r="C44" t="s">
        <v>98</v>
      </c>
      <c r="D44" s="1">
        <v>0.42</v>
      </c>
      <c r="G44" t="str">
        <f t="shared" si="8"/>
        <v>High Discount</v>
      </c>
      <c r="H44" s="8">
        <f t="shared" si="9"/>
        <v>0</v>
      </c>
      <c r="I44" s="8" t="str">
        <f t="shared" si="2"/>
        <v/>
      </c>
      <c r="J44">
        <f t="shared" si="10"/>
        <v>610</v>
      </c>
      <c r="K44">
        <f t="shared" si="4"/>
        <v>1060</v>
      </c>
      <c r="L44">
        <f t="shared" si="5"/>
        <v>450</v>
      </c>
      <c r="M44" t="str">
        <f t="shared" si="6"/>
        <v>Excellent</v>
      </c>
      <c r="N44" t="str">
        <f t="shared" si="7"/>
        <v>High Discount</v>
      </c>
    </row>
    <row r="45" spans="1:14" ht="13" x14ac:dyDescent="0.3">
      <c r="A45" t="s">
        <v>99</v>
      </c>
      <c r="B45" s="4">
        <v>2132</v>
      </c>
      <c r="C45" t="s">
        <v>100</v>
      </c>
      <c r="D45" s="1">
        <v>0.02</v>
      </c>
      <c r="G45" t="str">
        <f t="shared" si="8"/>
        <v>Low Discount</v>
      </c>
      <c r="H45" s="8">
        <f t="shared" si="9"/>
        <v>0</v>
      </c>
      <c r="I45" s="8" t="str">
        <f t="shared" si="2"/>
        <v/>
      </c>
      <c r="J45">
        <f t="shared" si="10"/>
        <v>2132</v>
      </c>
      <c r="K45">
        <f t="shared" si="4"/>
        <v>2169</v>
      </c>
      <c r="L45">
        <f t="shared" si="5"/>
        <v>37</v>
      </c>
      <c r="M45" t="str">
        <f t="shared" si="6"/>
        <v>Excellent</v>
      </c>
      <c r="N45" t="str">
        <f t="shared" si="7"/>
        <v>Low Discount</v>
      </c>
    </row>
    <row r="46" spans="1:14" ht="13" x14ac:dyDescent="0.3">
      <c r="A46" t="s">
        <v>101</v>
      </c>
      <c r="B46">
        <v>999</v>
      </c>
      <c r="C46" t="s">
        <v>102</v>
      </c>
      <c r="D46" s="1">
        <v>0.5</v>
      </c>
      <c r="G46" t="str">
        <f t="shared" si="8"/>
        <v>High Discount</v>
      </c>
      <c r="H46" s="8">
        <f t="shared" si="9"/>
        <v>0</v>
      </c>
      <c r="I46" s="8" t="str">
        <f t="shared" si="2"/>
        <v/>
      </c>
      <c r="J46">
        <f t="shared" si="10"/>
        <v>999</v>
      </c>
      <c r="K46">
        <f t="shared" si="4"/>
        <v>2000</v>
      </c>
      <c r="L46">
        <f t="shared" si="5"/>
        <v>1001</v>
      </c>
      <c r="M46" t="str">
        <f t="shared" si="6"/>
        <v>Excellent</v>
      </c>
      <c r="N46" t="str">
        <f t="shared" si="7"/>
        <v>High Discount</v>
      </c>
    </row>
    <row r="47" spans="1:14" ht="13" x14ac:dyDescent="0.3">
      <c r="A47" t="s">
        <v>103</v>
      </c>
      <c r="B47" s="4">
        <v>1190</v>
      </c>
      <c r="C47" t="s">
        <v>104</v>
      </c>
      <c r="D47" s="1">
        <v>0.33</v>
      </c>
      <c r="G47" t="str">
        <f t="shared" si="8"/>
        <v>Medium Discount</v>
      </c>
      <c r="H47" s="8">
        <f t="shared" si="9"/>
        <v>0</v>
      </c>
      <c r="I47" s="8" t="str">
        <f t="shared" si="2"/>
        <v/>
      </c>
      <c r="J47">
        <f t="shared" si="10"/>
        <v>1190</v>
      </c>
      <c r="K47">
        <f t="shared" si="4"/>
        <v>1785</v>
      </c>
      <c r="L47">
        <f t="shared" si="5"/>
        <v>595</v>
      </c>
      <c r="M47" t="str">
        <f t="shared" si="6"/>
        <v>Excellent</v>
      </c>
      <c r="N47" t="str">
        <f t="shared" si="7"/>
        <v>Medium Discount</v>
      </c>
    </row>
    <row r="48" spans="1:14" ht="13" x14ac:dyDescent="0.3">
      <c r="A48" t="s">
        <v>105</v>
      </c>
      <c r="B48">
        <v>671</v>
      </c>
      <c r="C48" t="s">
        <v>106</v>
      </c>
      <c r="D48" s="1">
        <v>0.49</v>
      </c>
      <c r="G48" t="str">
        <f t="shared" si="8"/>
        <v>High Discount</v>
      </c>
      <c r="H48" s="8">
        <f t="shared" si="9"/>
        <v>0</v>
      </c>
      <c r="I48" s="8" t="str">
        <f t="shared" si="2"/>
        <v/>
      </c>
      <c r="J48">
        <f t="shared" si="10"/>
        <v>671</v>
      </c>
      <c r="K48">
        <f t="shared" si="4"/>
        <v>1316</v>
      </c>
      <c r="L48">
        <f t="shared" si="5"/>
        <v>645</v>
      </c>
      <c r="M48" t="str">
        <f t="shared" si="6"/>
        <v>Excellent</v>
      </c>
      <c r="N48" t="str">
        <f t="shared" si="7"/>
        <v>High Discount</v>
      </c>
    </row>
    <row r="49" spans="1:14" ht="13" x14ac:dyDescent="0.3">
      <c r="A49" t="s">
        <v>107</v>
      </c>
      <c r="B49" s="4">
        <v>1200</v>
      </c>
      <c r="C49" t="s">
        <v>109</v>
      </c>
      <c r="D49" s="1">
        <v>0.38</v>
      </c>
      <c r="G49" t="str">
        <f t="shared" si="8"/>
        <v>Medium Discount</v>
      </c>
      <c r="H49" s="8">
        <f t="shared" si="9"/>
        <v>0</v>
      </c>
      <c r="I49" s="8" t="str">
        <f t="shared" si="2"/>
        <v/>
      </c>
      <c r="J49">
        <f t="shared" si="10"/>
        <v>1200</v>
      </c>
      <c r="K49">
        <f t="shared" si="4"/>
        <v>1950</v>
      </c>
      <c r="L49">
        <f t="shared" si="5"/>
        <v>750</v>
      </c>
      <c r="M49" t="str">
        <f t="shared" si="6"/>
        <v>Excellent</v>
      </c>
      <c r="N49" t="str">
        <f t="shared" si="7"/>
        <v>Medium Discount</v>
      </c>
    </row>
    <row r="50" spans="1:14" ht="13" x14ac:dyDescent="0.3">
      <c r="A50" t="s">
        <v>110</v>
      </c>
      <c r="B50">
        <v>199</v>
      </c>
      <c r="C50" t="s">
        <v>111</v>
      </c>
      <c r="D50" s="1">
        <v>0.61</v>
      </c>
      <c r="G50" t="str">
        <f t="shared" si="8"/>
        <v>High Discount</v>
      </c>
      <c r="H50" s="8">
        <f t="shared" si="9"/>
        <v>0</v>
      </c>
      <c r="I50" s="8" t="str">
        <f t="shared" si="2"/>
        <v/>
      </c>
      <c r="J50">
        <f t="shared" si="10"/>
        <v>199</v>
      </c>
      <c r="K50">
        <f t="shared" si="4"/>
        <v>504</v>
      </c>
      <c r="L50">
        <f t="shared" si="5"/>
        <v>305</v>
      </c>
      <c r="M50" t="str">
        <f t="shared" si="6"/>
        <v>Excellent</v>
      </c>
      <c r="N50" t="str">
        <f t="shared" si="7"/>
        <v>High Discount</v>
      </c>
    </row>
    <row r="51" spans="1:14" ht="13" x14ac:dyDescent="0.3">
      <c r="A51" t="s">
        <v>112</v>
      </c>
      <c r="B51">
        <v>299</v>
      </c>
      <c r="C51" t="s">
        <v>113</v>
      </c>
      <c r="D51" s="1">
        <v>0.5</v>
      </c>
      <c r="G51" t="str">
        <f t="shared" si="8"/>
        <v>High Discount</v>
      </c>
      <c r="H51" s="8">
        <f t="shared" si="9"/>
        <v>0</v>
      </c>
      <c r="I51" s="8" t="str">
        <f t="shared" si="2"/>
        <v/>
      </c>
      <c r="J51">
        <f t="shared" si="10"/>
        <v>299</v>
      </c>
      <c r="K51">
        <f t="shared" si="4"/>
        <v>600</v>
      </c>
      <c r="L51">
        <f t="shared" si="5"/>
        <v>301</v>
      </c>
      <c r="M51" t="str">
        <f t="shared" si="6"/>
        <v>Excellent</v>
      </c>
      <c r="N51" t="str">
        <f t="shared" si="7"/>
        <v>High Discount</v>
      </c>
    </row>
    <row r="52" spans="1:14" ht="13" x14ac:dyDescent="0.3">
      <c r="A52" t="s">
        <v>114</v>
      </c>
      <c r="B52" s="4">
        <v>1660</v>
      </c>
      <c r="C52" t="s">
        <v>116</v>
      </c>
      <c r="D52" s="1">
        <v>0.02</v>
      </c>
      <c r="G52" t="str">
        <f t="shared" si="8"/>
        <v>Low Discount</v>
      </c>
      <c r="H52" s="8">
        <f t="shared" si="9"/>
        <v>0</v>
      </c>
      <c r="I52" s="8" t="str">
        <f t="shared" si="2"/>
        <v/>
      </c>
      <c r="J52">
        <f t="shared" si="10"/>
        <v>1660</v>
      </c>
      <c r="K52">
        <f t="shared" si="4"/>
        <v>1699</v>
      </c>
      <c r="L52">
        <f t="shared" si="5"/>
        <v>39</v>
      </c>
      <c r="M52" t="str">
        <f t="shared" si="6"/>
        <v>Excellent</v>
      </c>
      <c r="N52" t="str">
        <f t="shared" si="7"/>
        <v>Low Discount</v>
      </c>
    </row>
    <row r="53" spans="1:14" ht="13" x14ac:dyDescent="0.3">
      <c r="A53" t="s">
        <v>117</v>
      </c>
      <c r="B53">
        <v>299</v>
      </c>
      <c r="C53" t="s">
        <v>118</v>
      </c>
      <c r="D53" s="1">
        <v>0.22</v>
      </c>
      <c r="G53" t="str">
        <f t="shared" si="8"/>
        <v>Medium Discount</v>
      </c>
      <c r="H53" s="8">
        <f t="shared" si="9"/>
        <v>0</v>
      </c>
      <c r="I53" s="8" t="str">
        <f t="shared" si="2"/>
        <v/>
      </c>
      <c r="J53">
        <f t="shared" si="10"/>
        <v>299</v>
      </c>
      <c r="K53">
        <f t="shared" si="4"/>
        <v>384</v>
      </c>
      <c r="L53">
        <f t="shared" si="5"/>
        <v>85</v>
      </c>
      <c r="M53" t="str">
        <f t="shared" si="6"/>
        <v>Excellent</v>
      </c>
      <c r="N53" t="str">
        <f t="shared" si="7"/>
        <v>Medium Discount</v>
      </c>
    </row>
    <row r="54" spans="1:14" ht="13" x14ac:dyDescent="0.3">
      <c r="A54" t="s">
        <v>119</v>
      </c>
      <c r="B54" s="4">
        <v>1459</v>
      </c>
      <c r="C54" t="s">
        <v>120</v>
      </c>
      <c r="D54" s="1">
        <v>0.03</v>
      </c>
      <c r="G54" t="str">
        <f t="shared" si="8"/>
        <v>Low Discount</v>
      </c>
      <c r="H54" s="8">
        <f t="shared" si="9"/>
        <v>0</v>
      </c>
      <c r="I54" s="8" t="str">
        <f t="shared" si="2"/>
        <v/>
      </c>
      <c r="J54">
        <f t="shared" si="10"/>
        <v>1459</v>
      </c>
      <c r="K54">
        <f t="shared" si="4"/>
        <v>1499</v>
      </c>
      <c r="L54">
        <f t="shared" si="5"/>
        <v>40</v>
      </c>
      <c r="M54" t="str">
        <f t="shared" si="6"/>
        <v>Excellent</v>
      </c>
      <c r="N54" t="str">
        <f t="shared" si="7"/>
        <v>Low Discount</v>
      </c>
    </row>
    <row r="55" spans="1:14" ht="13" x14ac:dyDescent="0.3">
      <c r="A55" t="s">
        <v>121</v>
      </c>
      <c r="B55">
        <v>799</v>
      </c>
      <c r="C55" t="s">
        <v>122</v>
      </c>
      <c r="D55" s="1">
        <v>0.41</v>
      </c>
      <c r="G55" t="str">
        <f t="shared" si="8"/>
        <v>High Discount</v>
      </c>
      <c r="H55" s="8">
        <f t="shared" si="9"/>
        <v>0</v>
      </c>
      <c r="I55" s="8" t="str">
        <f t="shared" si="2"/>
        <v/>
      </c>
      <c r="J55">
        <f t="shared" si="10"/>
        <v>799</v>
      </c>
      <c r="K55">
        <f t="shared" si="4"/>
        <v>1343</v>
      </c>
      <c r="L55">
        <f t="shared" si="5"/>
        <v>544</v>
      </c>
      <c r="M55" t="str">
        <f t="shared" si="6"/>
        <v>Excellent</v>
      </c>
      <c r="N55" t="str">
        <f t="shared" si="7"/>
        <v>High Discount</v>
      </c>
    </row>
    <row r="56" spans="1:14" ht="13" x14ac:dyDescent="0.3">
      <c r="A56" t="s">
        <v>123</v>
      </c>
      <c r="B56">
        <v>499</v>
      </c>
      <c r="C56" t="s">
        <v>124</v>
      </c>
      <c r="D56" s="1">
        <v>0.45</v>
      </c>
      <c r="G56" t="str">
        <f t="shared" si="8"/>
        <v>High Discount</v>
      </c>
      <c r="H56" s="8">
        <f t="shared" si="9"/>
        <v>0</v>
      </c>
      <c r="I56" s="8" t="str">
        <f t="shared" si="2"/>
        <v/>
      </c>
      <c r="J56">
        <f t="shared" si="10"/>
        <v>499</v>
      </c>
      <c r="K56">
        <f t="shared" si="4"/>
        <v>900</v>
      </c>
      <c r="L56">
        <f t="shared" si="5"/>
        <v>401</v>
      </c>
      <c r="M56" t="str">
        <f t="shared" si="6"/>
        <v>Excellent</v>
      </c>
      <c r="N56" t="str">
        <f t="shared" si="7"/>
        <v>High Discount</v>
      </c>
    </row>
    <row r="57" spans="1:14" ht="13" x14ac:dyDescent="0.3">
      <c r="A57" t="s">
        <v>125</v>
      </c>
      <c r="B57">
        <v>699</v>
      </c>
      <c r="C57" t="s">
        <v>122</v>
      </c>
      <c r="D57" s="1">
        <v>0.48</v>
      </c>
      <c r="G57" t="str">
        <f t="shared" si="8"/>
        <v>High Discount</v>
      </c>
      <c r="H57" s="8">
        <f t="shared" si="9"/>
        <v>0</v>
      </c>
      <c r="I57" s="8" t="str">
        <f t="shared" si="2"/>
        <v/>
      </c>
      <c r="J57">
        <f t="shared" si="10"/>
        <v>699</v>
      </c>
      <c r="K57">
        <f t="shared" si="4"/>
        <v>1343</v>
      </c>
      <c r="L57">
        <f t="shared" si="5"/>
        <v>644</v>
      </c>
      <c r="M57" t="str">
        <f t="shared" si="6"/>
        <v>Excellent</v>
      </c>
      <c r="N57" t="str">
        <f t="shared" si="7"/>
        <v>High Discount</v>
      </c>
    </row>
    <row r="58" spans="1:14" ht="13" x14ac:dyDescent="0.3">
      <c r="A58" t="s">
        <v>126</v>
      </c>
      <c r="B58">
        <v>799</v>
      </c>
      <c r="C58" t="s">
        <v>127</v>
      </c>
      <c r="D58" s="1">
        <v>0.49</v>
      </c>
      <c r="G58" t="str">
        <f t="shared" si="8"/>
        <v>High Discount</v>
      </c>
      <c r="H58" s="8">
        <f t="shared" si="9"/>
        <v>0</v>
      </c>
      <c r="I58" s="8" t="str">
        <f t="shared" si="2"/>
        <v/>
      </c>
      <c r="J58">
        <f t="shared" si="10"/>
        <v>799</v>
      </c>
      <c r="K58">
        <f t="shared" si="4"/>
        <v>1567</v>
      </c>
      <c r="L58">
        <f t="shared" si="5"/>
        <v>768</v>
      </c>
      <c r="M58" t="str">
        <f t="shared" si="6"/>
        <v>Excellent</v>
      </c>
      <c r="N58" t="str">
        <f t="shared" si="7"/>
        <v>High Discount</v>
      </c>
    </row>
    <row r="59" spans="1:14" ht="13" x14ac:dyDescent="0.3">
      <c r="A59" t="s">
        <v>128</v>
      </c>
      <c r="B59" s="4">
        <v>2799</v>
      </c>
      <c r="C59" t="s">
        <v>129</v>
      </c>
      <c r="D59" s="1">
        <v>0.27</v>
      </c>
      <c r="G59" t="str">
        <f t="shared" si="8"/>
        <v>Medium Discount</v>
      </c>
      <c r="H59" s="8">
        <f t="shared" si="9"/>
        <v>0</v>
      </c>
      <c r="I59" s="8" t="str">
        <f t="shared" si="2"/>
        <v/>
      </c>
      <c r="J59">
        <f t="shared" si="10"/>
        <v>2799</v>
      </c>
      <c r="K59">
        <f t="shared" si="4"/>
        <v>3810</v>
      </c>
      <c r="L59">
        <f t="shared" si="5"/>
        <v>1011</v>
      </c>
      <c r="M59" t="str">
        <f t="shared" si="6"/>
        <v>Excellent</v>
      </c>
      <c r="N59" t="str">
        <f t="shared" si="7"/>
        <v>Medium Discount</v>
      </c>
    </row>
    <row r="60" spans="1:14" ht="13" x14ac:dyDescent="0.3">
      <c r="A60" t="s">
        <v>123</v>
      </c>
      <c r="B60">
        <v>399</v>
      </c>
      <c r="C60" t="s">
        <v>130</v>
      </c>
      <c r="D60" s="1">
        <v>0.55000000000000004</v>
      </c>
      <c r="G60" t="str">
        <f t="shared" si="8"/>
        <v>High Discount</v>
      </c>
      <c r="H60" s="8">
        <f t="shared" si="9"/>
        <v>0</v>
      </c>
      <c r="I60" s="8" t="str">
        <f t="shared" si="2"/>
        <v/>
      </c>
      <c r="J60">
        <f t="shared" si="10"/>
        <v>399</v>
      </c>
      <c r="K60">
        <f t="shared" si="4"/>
        <v>896</v>
      </c>
      <c r="L60">
        <f t="shared" si="5"/>
        <v>497</v>
      </c>
      <c r="M60" t="str">
        <f t="shared" si="6"/>
        <v>Excellent</v>
      </c>
      <c r="N60" t="str">
        <f t="shared" si="7"/>
        <v>High Discount</v>
      </c>
    </row>
    <row r="61" spans="1:14" ht="13" x14ac:dyDescent="0.3">
      <c r="A61" t="s">
        <v>131</v>
      </c>
      <c r="B61" s="4">
        <v>2170</v>
      </c>
      <c r="C61" t="s">
        <v>132</v>
      </c>
      <c r="D61" s="1">
        <v>0.13</v>
      </c>
      <c r="E61">
        <v>-6</v>
      </c>
      <c r="F61" t="s">
        <v>133</v>
      </c>
      <c r="G61" t="str">
        <f t="shared" si="8"/>
        <v>Low Discount</v>
      </c>
      <c r="H61" s="8">
        <f t="shared" si="9"/>
        <v>6</v>
      </c>
      <c r="I61" s="8">
        <f t="shared" si="2"/>
        <v>2.5</v>
      </c>
      <c r="J61">
        <f t="shared" si="10"/>
        <v>2170</v>
      </c>
      <c r="K61">
        <f t="shared" si="4"/>
        <v>2500</v>
      </c>
      <c r="L61">
        <f t="shared" si="5"/>
        <v>330</v>
      </c>
      <c r="M61" t="str">
        <f t="shared" si="6"/>
        <v>Poor</v>
      </c>
      <c r="N61" t="str">
        <f t="shared" si="7"/>
        <v>Low Discount</v>
      </c>
    </row>
    <row r="62" spans="1:14" ht="13" x14ac:dyDescent="0.3">
      <c r="A62" t="s">
        <v>134</v>
      </c>
      <c r="B62">
        <v>458</v>
      </c>
      <c r="C62" t="s">
        <v>135</v>
      </c>
      <c r="D62" s="1">
        <v>0.54</v>
      </c>
      <c r="E62">
        <v>-10</v>
      </c>
      <c r="F62" t="s">
        <v>136</v>
      </c>
      <c r="G62" t="str">
        <f t="shared" si="8"/>
        <v>High Discount</v>
      </c>
      <c r="H62" s="8">
        <f t="shared" si="9"/>
        <v>10</v>
      </c>
      <c r="I62" s="8">
        <f t="shared" si="2"/>
        <v>3</v>
      </c>
      <c r="J62">
        <f t="shared" si="10"/>
        <v>458</v>
      </c>
      <c r="K62">
        <f t="shared" si="4"/>
        <v>986</v>
      </c>
      <c r="L62">
        <f t="shared" si="5"/>
        <v>528</v>
      </c>
      <c r="M62" t="str">
        <f t="shared" si="6"/>
        <v>Average</v>
      </c>
      <c r="N62" t="str">
        <f t="shared" si="7"/>
        <v>High Discount</v>
      </c>
    </row>
    <row r="63" spans="1:14" ht="13" x14ac:dyDescent="0.3">
      <c r="A63" t="s">
        <v>137</v>
      </c>
      <c r="B63" s="4">
        <v>2115</v>
      </c>
      <c r="C63" t="s">
        <v>138</v>
      </c>
      <c r="D63" s="1">
        <v>0.55000000000000004</v>
      </c>
      <c r="E63">
        <v>-13</v>
      </c>
      <c r="F63" t="s">
        <v>139</v>
      </c>
      <c r="G63" t="str">
        <f t="shared" si="8"/>
        <v>High Discount</v>
      </c>
      <c r="H63" s="8">
        <f t="shared" si="9"/>
        <v>13</v>
      </c>
      <c r="I63" s="8">
        <f t="shared" si="2"/>
        <v>2.1</v>
      </c>
      <c r="J63">
        <f t="shared" si="10"/>
        <v>2115</v>
      </c>
      <c r="K63">
        <f t="shared" si="4"/>
        <v>4700</v>
      </c>
      <c r="L63">
        <f t="shared" si="5"/>
        <v>2585</v>
      </c>
      <c r="M63" t="str">
        <f t="shared" si="6"/>
        <v>Poor</v>
      </c>
      <c r="N63" t="str">
        <f t="shared" si="7"/>
        <v>High Discount</v>
      </c>
    </row>
    <row r="64" spans="1:14" ht="13" x14ac:dyDescent="0.3">
      <c r="A64" t="s">
        <v>140</v>
      </c>
      <c r="B64">
        <v>445</v>
      </c>
      <c r="C64" t="s">
        <v>141</v>
      </c>
      <c r="D64" s="1">
        <v>0.49</v>
      </c>
      <c r="E64">
        <v>-69</v>
      </c>
      <c r="F64" t="s">
        <v>142</v>
      </c>
      <c r="G64" t="str">
        <f t="shared" si="8"/>
        <v>High Discount</v>
      </c>
      <c r="H64" s="8">
        <f t="shared" si="9"/>
        <v>69</v>
      </c>
      <c r="I64" s="8">
        <f t="shared" si="2"/>
        <v>2.8</v>
      </c>
      <c r="J64">
        <f t="shared" si="10"/>
        <v>445</v>
      </c>
      <c r="K64">
        <f t="shared" si="4"/>
        <v>873</v>
      </c>
      <c r="L64">
        <f t="shared" si="5"/>
        <v>428</v>
      </c>
      <c r="M64" t="str">
        <f t="shared" si="6"/>
        <v>Poor</v>
      </c>
      <c r="N64" t="str">
        <f t="shared" si="7"/>
        <v>High Discount</v>
      </c>
    </row>
    <row r="65" spans="1:14" ht="13" x14ac:dyDescent="0.3">
      <c r="A65" t="s">
        <v>143</v>
      </c>
      <c r="B65">
        <v>325</v>
      </c>
      <c r="C65" t="s">
        <v>144</v>
      </c>
      <c r="D65" s="1">
        <v>0.52</v>
      </c>
      <c r="E65">
        <v>-15</v>
      </c>
      <c r="F65" t="s">
        <v>145</v>
      </c>
      <c r="G65" t="str">
        <f t="shared" si="8"/>
        <v>High Discount</v>
      </c>
      <c r="H65" s="8">
        <f t="shared" si="9"/>
        <v>15</v>
      </c>
      <c r="I65" s="8">
        <f t="shared" si="2"/>
        <v>2.7</v>
      </c>
      <c r="J65">
        <f t="shared" si="10"/>
        <v>325</v>
      </c>
      <c r="K65">
        <f t="shared" si="4"/>
        <v>680</v>
      </c>
      <c r="L65">
        <f t="shared" si="5"/>
        <v>355</v>
      </c>
      <c r="M65" t="str">
        <f t="shared" si="6"/>
        <v>Poor</v>
      </c>
      <c r="N65" t="str">
        <f t="shared" si="7"/>
        <v>High Discount</v>
      </c>
    </row>
    <row r="66" spans="1:14" ht="13" x14ac:dyDescent="0.3">
      <c r="A66" t="s">
        <v>146</v>
      </c>
      <c r="B66" s="4">
        <v>1220</v>
      </c>
      <c r="C66" t="s">
        <v>147</v>
      </c>
      <c r="D66" s="1">
        <v>0.22</v>
      </c>
      <c r="E66">
        <v>-16</v>
      </c>
      <c r="F66" t="s">
        <v>148</v>
      </c>
      <c r="G66" t="str">
        <f t="shared" ref="G66:G97" si="11">IF(ISBLANK(D66),"",IF(D66&lt;20%,"Low Discount",IF(D66&lt;=40%,"Medium Discount","High Discount")))</f>
        <v>Medium Discount</v>
      </c>
      <c r="H66" s="8">
        <f t="shared" ref="H66:H97" si="12">IFERROR(ABS(E66),"No Review")</f>
        <v>16</v>
      </c>
      <c r="I66" s="8">
        <f t="shared" si="2"/>
        <v>2.9</v>
      </c>
      <c r="J66">
        <f t="shared" si="10"/>
        <v>1220</v>
      </c>
      <c r="K66">
        <f t="shared" si="4"/>
        <v>1555</v>
      </c>
      <c r="L66">
        <f t="shared" si="5"/>
        <v>335</v>
      </c>
      <c r="M66" t="str">
        <f t="shared" si="6"/>
        <v>Poor</v>
      </c>
      <c r="N66" t="str">
        <f t="shared" si="7"/>
        <v>Medium Discount</v>
      </c>
    </row>
    <row r="67" spans="1:14" ht="13" x14ac:dyDescent="0.3">
      <c r="A67" t="s">
        <v>149</v>
      </c>
      <c r="B67">
        <v>990</v>
      </c>
      <c r="C67" t="s">
        <v>150</v>
      </c>
      <c r="D67" s="1">
        <v>0.45</v>
      </c>
      <c r="E67">
        <v>-6</v>
      </c>
      <c r="F67" t="s">
        <v>151</v>
      </c>
      <c r="G67" t="str">
        <f t="shared" si="11"/>
        <v>High Discount</v>
      </c>
      <c r="H67" s="8">
        <f t="shared" si="12"/>
        <v>6</v>
      </c>
      <c r="I67" s="8">
        <f t="shared" ref="I67:I113" si="13">IF(ISNUMBER(F67), F67, IF(ISBLANK(F67), "", VALUE(LEFT(F67, FIND(" ", F67 &amp; " ")-1))))</f>
        <v>2.2000000000000002</v>
      </c>
      <c r="J67">
        <f t="shared" ref="J67:J98" si="14">IF(ISBLANK(B67),"",VALUE(SUBSTITUTE(SUBSTITUTE(B67,"KSh ",""),",","")))</f>
        <v>990</v>
      </c>
      <c r="K67">
        <f t="shared" ref="K67:K113" si="15">IF(ISBLANK(C67),"",VALUE(SUBSTITUTE(SUBSTITUTE(C67,"KSh ",""),",","")))</f>
        <v>1814</v>
      </c>
      <c r="L67">
        <f t="shared" ref="L67:L113" si="16">K67-J67</f>
        <v>824</v>
      </c>
      <c r="M67" t="str">
        <f t="shared" ref="M67:M113" si="17">IF(I67&lt;3,"Poor",IF(I67&lt;=4.4,"Average","Excellent"))</f>
        <v>Poor</v>
      </c>
      <c r="N67" t="str">
        <f t="shared" ref="N67:N113" si="18">IF(ISBLANK(D67),"",IF(D67&lt;0.2,"Low Discount",IF(D67&lt;=0.4,"Medium Discount","High Discount")))</f>
        <v>High Discount</v>
      </c>
    </row>
    <row r="68" spans="1:14" ht="13" x14ac:dyDescent="0.3">
      <c r="A68" t="s">
        <v>152</v>
      </c>
      <c r="B68" s="4">
        <v>1000</v>
      </c>
      <c r="C68" t="s">
        <v>102</v>
      </c>
      <c r="D68" s="1">
        <v>0.5</v>
      </c>
      <c r="E68">
        <v>-7</v>
      </c>
      <c r="F68" t="s">
        <v>153</v>
      </c>
      <c r="G68" t="str">
        <f t="shared" si="11"/>
        <v>High Discount</v>
      </c>
      <c r="H68" s="8">
        <f t="shared" si="12"/>
        <v>7</v>
      </c>
      <c r="I68" s="8">
        <f t="shared" si="13"/>
        <v>2.2999999999999998</v>
      </c>
      <c r="J68">
        <f t="shared" si="14"/>
        <v>1000</v>
      </c>
      <c r="K68">
        <f t="shared" si="15"/>
        <v>2000</v>
      </c>
      <c r="L68">
        <f t="shared" si="16"/>
        <v>1000</v>
      </c>
      <c r="M68" t="str">
        <f t="shared" si="17"/>
        <v>Poor</v>
      </c>
      <c r="N68" t="str">
        <f t="shared" si="18"/>
        <v>High Discount</v>
      </c>
    </row>
    <row r="69" spans="1:14" ht="13" x14ac:dyDescent="0.3">
      <c r="A69" t="s">
        <v>154</v>
      </c>
      <c r="B69" s="4">
        <v>3750</v>
      </c>
      <c r="C69" t="s">
        <v>155</v>
      </c>
      <c r="D69" s="1">
        <v>0.39</v>
      </c>
      <c r="E69">
        <v>-5</v>
      </c>
      <c r="F69" t="s">
        <v>136</v>
      </c>
      <c r="G69" t="str">
        <f t="shared" si="11"/>
        <v>Medium Discount</v>
      </c>
      <c r="H69" s="8">
        <f t="shared" si="12"/>
        <v>5</v>
      </c>
      <c r="I69" s="8">
        <f t="shared" si="13"/>
        <v>3</v>
      </c>
      <c r="J69">
        <f t="shared" si="14"/>
        <v>3750</v>
      </c>
      <c r="K69">
        <f t="shared" si="15"/>
        <v>6143</v>
      </c>
      <c r="L69">
        <f t="shared" si="16"/>
        <v>2393</v>
      </c>
      <c r="M69" t="str">
        <f t="shared" si="17"/>
        <v>Average</v>
      </c>
      <c r="N69" t="str">
        <f t="shared" si="18"/>
        <v>Medium Discount</v>
      </c>
    </row>
    <row r="70" spans="1:14" ht="13" x14ac:dyDescent="0.3">
      <c r="A70" t="s">
        <v>156</v>
      </c>
      <c r="B70">
        <v>382</v>
      </c>
      <c r="C70" t="s">
        <v>157</v>
      </c>
      <c r="D70" s="1">
        <v>0.45</v>
      </c>
      <c r="E70">
        <v>-17</v>
      </c>
      <c r="F70" t="s">
        <v>158</v>
      </c>
      <c r="G70" t="str">
        <f t="shared" si="11"/>
        <v>High Discount</v>
      </c>
      <c r="H70" s="8">
        <f t="shared" si="12"/>
        <v>17</v>
      </c>
      <c r="I70" s="8">
        <f t="shared" si="13"/>
        <v>2.6</v>
      </c>
      <c r="J70">
        <f t="shared" si="14"/>
        <v>382</v>
      </c>
      <c r="K70">
        <f t="shared" si="15"/>
        <v>700</v>
      </c>
      <c r="L70">
        <f t="shared" si="16"/>
        <v>318</v>
      </c>
      <c r="M70" t="str">
        <f t="shared" si="17"/>
        <v>Poor</v>
      </c>
      <c r="N70" t="str">
        <f t="shared" si="18"/>
        <v>High Discount</v>
      </c>
    </row>
    <row r="71" spans="1:14" ht="13" x14ac:dyDescent="0.3">
      <c r="A71" t="s">
        <v>159</v>
      </c>
      <c r="B71" s="4">
        <v>2300</v>
      </c>
      <c r="C71" t="s">
        <v>160</v>
      </c>
      <c r="D71" s="1">
        <v>0.28999999999999998</v>
      </c>
      <c r="E71">
        <v>-5</v>
      </c>
      <c r="F71" t="s">
        <v>136</v>
      </c>
      <c r="G71" t="str">
        <f t="shared" si="11"/>
        <v>Medium Discount</v>
      </c>
      <c r="H71" s="8">
        <f t="shared" si="12"/>
        <v>5</v>
      </c>
      <c r="I71" s="8">
        <f t="shared" si="13"/>
        <v>3</v>
      </c>
      <c r="J71">
        <f t="shared" si="14"/>
        <v>2300</v>
      </c>
      <c r="K71">
        <f t="shared" si="15"/>
        <v>3240</v>
      </c>
      <c r="L71">
        <f t="shared" si="16"/>
        <v>940</v>
      </c>
      <c r="M71" t="str">
        <f t="shared" si="17"/>
        <v>Average</v>
      </c>
      <c r="N71" t="str">
        <f t="shared" si="18"/>
        <v>Medium Discount</v>
      </c>
    </row>
    <row r="72" spans="1:14" ht="13" x14ac:dyDescent="0.3">
      <c r="A72" t="s">
        <v>161</v>
      </c>
      <c r="B72">
        <v>345</v>
      </c>
      <c r="C72" t="s">
        <v>163</v>
      </c>
      <c r="D72" s="1">
        <v>0.43</v>
      </c>
      <c r="E72">
        <v>-6</v>
      </c>
      <c r="F72" t="s">
        <v>153</v>
      </c>
      <c r="G72" t="str">
        <f t="shared" si="11"/>
        <v>High Discount</v>
      </c>
      <c r="H72" s="8">
        <f t="shared" si="12"/>
        <v>6</v>
      </c>
      <c r="I72" s="8">
        <f t="shared" si="13"/>
        <v>2.2999999999999998</v>
      </c>
      <c r="J72">
        <f t="shared" si="14"/>
        <v>345</v>
      </c>
      <c r="K72">
        <f t="shared" si="15"/>
        <v>602</v>
      </c>
      <c r="L72">
        <f t="shared" si="16"/>
        <v>257</v>
      </c>
      <c r="M72" t="str">
        <f t="shared" si="17"/>
        <v>Poor</v>
      </c>
      <c r="N72" t="str">
        <f t="shared" si="18"/>
        <v>High Discount</v>
      </c>
    </row>
    <row r="73" spans="1:14" ht="13" x14ac:dyDescent="0.3">
      <c r="A73" t="s">
        <v>164</v>
      </c>
      <c r="B73">
        <v>509</v>
      </c>
      <c r="C73" t="s">
        <v>165</v>
      </c>
      <c r="D73" s="1">
        <v>0.43</v>
      </c>
      <c r="E73">
        <v>-5</v>
      </c>
      <c r="F73" t="s">
        <v>136</v>
      </c>
      <c r="G73" t="str">
        <f t="shared" si="11"/>
        <v>High Discount</v>
      </c>
      <c r="H73" s="8">
        <f t="shared" si="12"/>
        <v>5</v>
      </c>
      <c r="I73" s="8">
        <f t="shared" si="13"/>
        <v>3</v>
      </c>
      <c r="J73">
        <f t="shared" si="14"/>
        <v>509</v>
      </c>
      <c r="K73">
        <f t="shared" si="15"/>
        <v>899</v>
      </c>
      <c r="L73">
        <f t="shared" si="16"/>
        <v>390</v>
      </c>
      <c r="M73" t="str">
        <f t="shared" si="17"/>
        <v>Average</v>
      </c>
      <c r="N73" t="str">
        <f t="shared" si="18"/>
        <v>High Discount</v>
      </c>
    </row>
    <row r="74" spans="1:14" ht="13" x14ac:dyDescent="0.3">
      <c r="A74" t="s">
        <v>166</v>
      </c>
      <c r="B74">
        <v>968</v>
      </c>
      <c r="C74" t="s">
        <v>150</v>
      </c>
      <c r="D74" s="1">
        <v>0.47</v>
      </c>
      <c r="E74">
        <v>-6</v>
      </c>
      <c r="F74" t="s">
        <v>151</v>
      </c>
      <c r="G74" t="str">
        <f t="shared" si="11"/>
        <v>High Discount</v>
      </c>
      <c r="H74" s="8">
        <f t="shared" si="12"/>
        <v>6</v>
      </c>
      <c r="I74" s="8">
        <f t="shared" si="13"/>
        <v>2.2000000000000002</v>
      </c>
      <c r="J74">
        <f t="shared" si="14"/>
        <v>968</v>
      </c>
      <c r="K74">
        <f t="shared" si="15"/>
        <v>1814</v>
      </c>
      <c r="L74">
        <f t="shared" si="16"/>
        <v>846</v>
      </c>
      <c r="M74" t="str">
        <f t="shared" si="17"/>
        <v>Poor</v>
      </c>
      <c r="N74" t="str">
        <f t="shared" si="18"/>
        <v>High Discount</v>
      </c>
    </row>
    <row r="75" spans="1:14" ht="13" x14ac:dyDescent="0.3">
      <c r="A75" t="s">
        <v>167</v>
      </c>
      <c r="B75" s="4">
        <v>1570</v>
      </c>
      <c r="C75" t="s">
        <v>168</v>
      </c>
      <c r="D75" s="1">
        <v>0.47</v>
      </c>
      <c r="E75">
        <v>-7</v>
      </c>
      <c r="F75" t="s">
        <v>139</v>
      </c>
      <c r="G75" t="str">
        <f t="shared" si="11"/>
        <v>High Discount</v>
      </c>
      <c r="H75" s="8">
        <f t="shared" si="12"/>
        <v>7</v>
      </c>
      <c r="I75" s="8">
        <f t="shared" si="13"/>
        <v>2.1</v>
      </c>
      <c r="J75">
        <f t="shared" si="14"/>
        <v>1570</v>
      </c>
      <c r="K75">
        <f t="shared" si="15"/>
        <v>2988</v>
      </c>
      <c r="L75">
        <f t="shared" si="16"/>
        <v>1418</v>
      </c>
      <c r="M75" t="str">
        <f t="shared" si="17"/>
        <v>Poor</v>
      </c>
      <c r="N75" t="str">
        <f t="shared" si="18"/>
        <v>High Discount</v>
      </c>
    </row>
    <row r="76" spans="1:14" ht="13" x14ac:dyDescent="0.3">
      <c r="A76" t="s">
        <v>169</v>
      </c>
      <c r="B76">
        <v>790</v>
      </c>
      <c r="C76" t="s">
        <v>170</v>
      </c>
      <c r="D76" s="1">
        <v>0.47</v>
      </c>
      <c r="G76" t="str">
        <f t="shared" si="11"/>
        <v>High Discount</v>
      </c>
      <c r="H76" s="8">
        <f t="shared" si="12"/>
        <v>0</v>
      </c>
      <c r="I76" s="8" t="str">
        <f t="shared" si="13"/>
        <v/>
      </c>
      <c r="J76">
        <f t="shared" si="14"/>
        <v>790</v>
      </c>
      <c r="K76">
        <f t="shared" si="15"/>
        <v>1485</v>
      </c>
      <c r="L76">
        <f t="shared" si="16"/>
        <v>695</v>
      </c>
      <c r="M76" t="str">
        <f t="shared" si="17"/>
        <v>Excellent</v>
      </c>
      <c r="N76" t="str">
        <f t="shared" si="18"/>
        <v>High Discount</v>
      </c>
    </row>
    <row r="77" spans="1:14" ht="13" x14ac:dyDescent="0.3">
      <c r="A77" t="s">
        <v>171</v>
      </c>
      <c r="B77">
        <v>690</v>
      </c>
      <c r="C77" t="s">
        <v>108</v>
      </c>
      <c r="D77" s="1">
        <v>0.43</v>
      </c>
      <c r="G77" t="str">
        <f t="shared" si="11"/>
        <v>High Discount</v>
      </c>
      <c r="H77" s="8">
        <f t="shared" si="12"/>
        <v>0</v>
      </c>
      <c r="I77" s="8" t="str">
        <f t="shared" si="13"/>
        <v/>
      </c>
      <c r="J77">
        <f t="shared" si="14"/>
        <v>690</v>
      </c>
      <c r="K77">
        <f t="shared" si="15"/>
        <v>1200</v>
      </c>
      <c r="L77">
        <f t="shared" si="16"/>
        <v>510</v>
      </c>
      <c r="M77" t="str">
        <f t="shared" si="17"/>
        <v>Excellent</v>
      </c>
      <c r="N77" t="str">
        <f t="shared" si="18"/>
        <v>High Discount</v>
      </c>
    </row>
    <row r="78" spans="1:14" ht="13" x14ac:dyDescent="0.3">
      <c r="A78" t="s">
        <v>172</v>
      </c>
      <c r="B78" s="4">
        <v>1732</v>
      </c>
      <c r="C78" t="s">
        <v>173</v>
      </c>
      <c r="D78" s="1">
        <v>0.04</v>
      </c>
      <c r="G78" t="str">
        <f t="shared" si="11"/>
        <v>Low Discount</v>
      </c>
      <c r="H78" s="8">
        <f t="shared" si="12"/>
        <v>0</v>
      </c>
      <c r="I78" s="8" t="str">
        <f t="shared" si="13"/>
        <v/>
      </c>
      <c r="J78">
        <f t="shared" si="14"/>
        <v>1732</v>
      </c>
      <c r="K78">
        <f t="shared" si="15"/>
        <v>1799</v>
      </c>
      <c r="L78">
        <f t="shared" si="16"/>
        <v>67</v>
      </c>
      <c r="M78" t="str">
        <f t="shared" si="17"/>
        <v>Excellent</v>
      </c>
      <c r="N78" t="str">
        <f t="shared" si="18"/>
        <v>Low Discount</v>
      </c>
    </row>
    <row r="79" spans="1:14" ht="13" x14ac:dyDescent="0.3">
      <c r="A79" t="s">
        <v>174</v>
      </c>
      <c r="B79">
        <v>230</v>
      </c>
      <c r="C79" t="s">
        <v>175</v>
      </c>
      <c r="D79" s="1">
        <v>0.49</v>
      </c>
      <c r="G79" t="str">
        <f t="shared" si="11"/>
        <v>High Discount</v>
      </c>
      <c r="H79" s="8">
        <f t="shared" si="12"/>
        <v>0</v>
      </c>
      <c r="I79" s="8" t="str">
        <f t="shared" si="13"/>
        <v/>
      </c>
      <c r="J79">
        <f t="shared" si="14"/>
        <v>230</v>
      </c>
      <c r="K79">
        <f t="shared" si="15"/>
        <v>450</v>
      </c>
      <c r="L79">
        <f t="shared" si="16"/>
        <v>220</v>
      </c>
      <c r="M79" t="str">
        <f t="shared" si="17"/>
        <v>Excellent</v>
      </c>
      <c r="N79" t="str">
        <f t="shared" si="18"/>
        <v>High Discount</v>
      </c>
    </row>
    <row r="80" spans="1:14" ht="13" x14ac:dyDescent="0.3">
      <c r="A80" t="s">
        <v>176</v>
      </c>
      <c r="B80" s="4">
        <v>1189</v>
      </c>
      <c r="C80" t="s">
        <v>12</v>
      </c>
      <c r="D80" s="1">
        <v>0.46</v>
      </c>
      <c r="E80">
        <v>-1</v>
      </c>
      <c r="F80" t="s">
        <v>136</v>
      </c>
      <c r="G80" t="str">
        <f t="shared" si="11"/>
        <v>High Discount</v>
      </c>
      <c r="H80" s="8">
        <f t="shared" si="12"/>
        <v>1</v>
      </c>
      <c r="I80" s="8">
        <f t="shared" si="13"/>
        <v>3</v>
      </c>
      <c r="J80">
        <f t="shared" si="14"/>
        <v>1189</v>
      </c>
      <c r="K80">
        <f t="shared" si="15"/>
        <v>2199</v>
      </c>
      <c r="L80">
        <f t="shared" si="16"/>
        <v>1010</v>
      </c>
      <c r="M80" t="str">
        <f t="shared" si="17"/>
        <v>Average</v>
      </c>
      <c r="N80" t="str">
        <f t="shared" si="18"/>
        <v>High Discount</v>
      </c>
    </row>
    <row r="81" spans="1:14" ht="13" x14ac:dyDescent="0.3">
      <c r="A81" t="s">
        <v>177</v>
      </c>
      <c r="B81">
        <v>979</v>
      </c>
      <c r="C81" t="s">
        <v>178</v>
      </c>
      <c r="D81" s="1">
        <v>0.49</v>
      </c>
      <c r="E81">
        <v>-1</v>
      </c>
      <c r="F81" t="s">
        <v>44</v>
      </c>
      <c r="G81" t="str">
        <f t="shared" si="11"/>
        <v>High Discount</v>
      </c>
      <c r="H81" s="8">
        <f t="shared" si="12"/>
        <v>1</v>
      </c>
      <c r="I81" s="8">
        <f t="shared" si="13"/>
        <v>5</v>
      </c>
      <c r="J81">
        <f t="shared" si="14"/>
        <v>979</v>
      </c>
      <c r="K81">
        <f t="shared" si="15"/>
        <v>1920</v>
      </c>
      <c r="L81">
        <f t="shared" si="16"/>
        <v>941</v>
      </c>
      <c r="M81" t="str">
        <f t="shared" si="17"/>
        <v>Excellent</v>
      </c>
      <c r="N81" t="str">
        <f t="shared" si="18"/>
        <v>High Discount</v>
      </c>
    </row>
    <row r="82" spans="1:14" ht="13" x14ac:dyDescent="0.3">
      <c r="A82" t="s">
        <v>179</v>
      </c>
      <c r="B82" s="4">
        <v>1460</v>
      </c>
      <c r="C82" t="s">
        <v>180</v>
      </c>
      <c r="D82" s="1">
        <v>0.36</v>
      </c>
      <c r="G82" t="str">
        <f t="shared" si="11"/>
        <v>Medium Discount</v>
      </c>
      <c r="H82" s="8">
        <f t="shared" si="12"/>
        <v>0</v>
      </c>
      <c r="I82" s="8" t="str">
        <f t="shared" si="13"/>
        <v/>
      </c>
      <c r="J82">
        <f t="shared" si="14"/>
        <v>1460</v>
      </c>
      <c r="K82">
        <f t="shared" si="15"/>
        <v>2290</v>
      </c>
      <c r="L82">
        <f t="shared" si="16"/>
        <v>830</v>
      </c>
      <c r="M82" t="str">
        <f t="shared" si="17"/>
        <v>Excellent</v>
      </c>
      <c r="N82" t="str">
        <f t="shared" si="18"/>
        <v>Medium Discount</v>
      </c>
    </row>
    <row r="83" spans="1:14" ht="13" x14ac:dyDescent="0.3">
      <c r="A83" t="s">
        <v>181</v>
      </c>
      <c r="B83" s="4">
        <v>1666</v>
      </c>
      <c r="C83" t="s">
        <v>116</v>
      </c>
      <c r="D83" s="1">
        <v>0.02</v>
      </c>
      <c r="G83" t="str">
        <f t="shared" si="11"/>
        <v>Low Discount</v>
      </c>
      <c r="H83" s="8">
        <f t="shared" si="12"/>
        <v>0</v>
      </c>
      <c r="I83" s="8" t="str">
        <f t="shared" si="13"/>
        <v/>
      </c>
      <c r="J83">
        <f t="shared" si="14"/>
        <v>1666</v>
      </c>
      <c r="K83">
        <f t="shared" si="15"/>
        <v>1699</v>
      </c>
      <c r="L83">
        <f t="shared" si="16"/>
        <v>33</v>
      </c>
      <c r="M83" t="str">
        <f t="shared" si="17"/>
        <v>Excellent</v>
      </c>
      <c r="N83" t="str">
        <f t="shared" si="18"/>
        <v>Low Discount</v>
      </c>
    </row>
    <row r="84" spans="1:14" ht="13" x14ac:dyDescent="0.3">
      <c r="A84" t="s">
        <v>182</v>
      </c>
      <c r="B84">
        <v>330</v>
      </c>
      <c r="C84" t="s">
        <v>67</v>
      </c>
      <c r="D84" s="1">
        <v>0.49</v>
      </c>
      <c r="E84">
        <v>-1</v>
      </c>
      <c r="F84" t="s">
        <v>24</v>
      </c>
      <c r="G84" t="str">
        <f t="shared" si="11"/>
        <v>High Discount</v>
      </c>
      <c r="H84" s="8">
        <f t="shared" si="12"/>
        <v>1</v>
      </c>
      <c r="I84" s="8">
        <f t="shared" si="13"/>
        <v>4</v>
      </c>
      <c r="J84">
        <f t="shared" si="14"/>
        <v>330</v>
      </c>
      <c r="K84">
        <f t="shared" si="15"/>
        <v>647</v>
      </c>
      <c r="L84">
        <f t="shared" si="16"/>
        <v>317</v>
      </c>
      <c r="M84" t="str">
        <f t="shared" si="17"/>
        <v>Average</v>
      </c>
      <c r="N84" t="str">
        <f t="shared" si="18"/>
        <v>High Discount</v>
      </c>
    </row>
    <row r="85" spans="1:14" ht="13" x14ac:dyDescent="0.3">
      <c r="A85" t="s">
        <v>110</v>
      </c>
      <c r="B85">
        <v>176</v>
      </c>
      <c r="C85" t="s">
        <v>162</v>
      </c>
      <c r="D85" s="1">
        <v>0.49</v>
      </c>
      <c r="G85" t="str">
        <f t="shared" si="11"/>
        <v>High Discount</v>
      </c>
      <c r="H85" s="8">
        <f t="shared" si="12"/>
        <v>0</v>
      </c>
      <c r="I85" s="8" t="str">
        <f t="shared" si="13"/>
        <v/>
      </c>
      <c r="J85">
        <f t="shared" si="14"/>
        <v>176</v>
      </c>
      <c r="K85">
        <f t="shared" si="15"/>
        <v>345</v>
      </c>
      <c r="L85">
        <f t="shared" si="16"/>
        <v>169</v>
      </c>
      <c r="M85" t="str">
        <f t="shared" si="17"/>
        <v>Excellent</v>
      </c>
      <c r="N85" t="str">
        <f t="shared" si="18"/>
        <v>High Discount</v>
      </c>
    </row>
    <row r="86" spans="1:14" ht="13" x14ac:dyDescent="0.3">
      <c r="A86" t="s">
        <v>183</v>
      </c>
      <c r="B86" s="4">
        <v>1466</v>
      </c>
      <c r="C86" t="s">
        <v>116</v>
      </c>
      <c r="D86" s="1">
        <v>0.14000000000000001</v>
      </c>
      <c r="G86" t="str">
        <f t="shared" si="11"/>
        <v>Low Discount</v>
      </c>
      <c r="H86" s="8">
        <f t="shared" si="12"/>
        <v>0</v>
      </c>
      <c r="I86" s="8" t="str">
        <f t="shared" si="13"/>
        <v/>
      </c>
      <c r="J86">
        <f t="shared" si="14"/>
        <v>1466</v>
      </c>
      <c r="K86">
        <f t="shared" si="15"/>
        <v>1699</v>
      </c>
      <c r="L86">
        <f t="shared" si="16"/>
        <v>233</v>
      </c>
      <c r="M86" t="str">
        <f t="shared" si="17"/>
        <v>Excellent</v>
      </c>
      <c r="N86" t="str">
        <f t="shared" si="18"/>
        <v>Low Discount</v>
      </c>
    </row>
    <row r="87" spans="1:14" ht="13" x14ac:dyDescent="0.3">
      <c r="A87" t="s">
        <v>184</v>
      </c>
      <c r="B87">
        <v>274</v>
      </c>
      <c r="C87" t="s">
        <v>185</v>
      </c>
      <c r="D87" s="1">
        <v>0.49</v>
      </c>
      <c r="G87" t="str">
        <f t="shared" si="11"/>
        <v>High Discount</v>
      </c>
      <c r="H87" s="8">
        <f t="shared" si="12"/>
        <v>0</v>
      </c>
      <c r="I87" s="8" t="str">
        <f t="shared" si="13"/>
        <v/>
      </c>
      <c r="J87">
        <f t="shared" si="14"/>
        <v>274</v>
      </c>
      <c r="K87">
        <f t="shared" si="15"/>
        <v>537</v>
      </c>
      <c r="L87">
        <f t="shared" si="16"/>
        <v>263</v>
      </c>
      <c r="M87" t="str">
        <f t="shared" si="17"/>
        <v>Excellent</v>
      </c>
      <c r="N87" t="str">
        <f t="shared" si="18"/>
        <v>High Discount</v>
      </c>
    </row>
    <row r="88" spans="1:14" ht="13" x14ac:dyDescent="0.3">
      <c r="A88" t="s">
        <v>186</v>
      </c>
      <c r="B88">
        <v>799</v>
      </c>
      <c r="C88" t="s">
        <v>124</v>
      </c>
      <c r="D88" s="1">
        <v>0.11</v>
      </c>
      <c r="G88" t="str">
        <f t="shared" si="11"/>
        <v>Low Discount</v>
      </c>
      <c r="H88" s="8">
        <f t="shared" si="12"/>
        <v>0</v>
      </c>
      <c r="I88" s="8" t="str">
        <f t="shared" si="13"/>
        <v/>
      </c>
      <c r="J88">
        <f t="shared" si="14"/>
        <v>799</v>
      </c>
      <c r="K88">
        <f t="shared" si="15"/>
        <v>900</v>
      </c>
      <c r="L88">
        <f t="shared" si="16"/>
        <v>101</v>
      </c>
      <c r="M88" t="str">
        <f t="shared" si="17"/>
        <v>Excellent</v>
      </c>
      <c r="N88" t="str">
        <f t="shared" si="18"/>
        <v>Low Discount</v>
      </c>
    </row>
    <row r="89" spans="1:14" ht="13" x14ac:dyDescent="0.3">
      <c r="A89" t="s">
        <v>126</v>
      </c>
      <c r="B89">
        <v>657</v>
      </c>
      <c r="C89" t="s">
        <v>187</v>
      </c>
      <c r="D89" s="1">
        <v>0.49</v>
      </c>
      <c r="G89" t="str">
        <f t="shared" si="11"/>
        <v>High Discount</v>
      </c>
      <c r="H89" s="8">
        <f t="shared" si="12"/>
        <v>0</v>
      </c>
      <c r="I89" s="8" t="str">
        <f t="shared" si="13"/>
        <v/>
      </c>
      <c r="J89">
        <f t="shared" si="14"/>
        <v>657</v>
      </c>
      <c r="K89">
        <f t="shared" si="15"/>
        <v>1288</v>
      </c>
      <c r="L89">
        <f t="shared" si="16"/>
        <v>631</v>
      </c>
      <c r="M89" t="str">
        <f t="shared" si="17"/>
        <v>Excellent</v>
      </c>
      <c r="N89" t="str">
        <f t="shared" si="18"/>
        <v>High Discount</v>
      </c>
    </row>
    <row r="90" spans="1:14" ht="13" x14ac:dyDescent="0.3">
      <c r="A90" t="s">
        <v>188</v>
      </c>
      <c r="B90" s="4">
        <v>1468</v>
      </c>
      <c r="C90" t="s">
        <v>116</v>
      </c>
      <c r="D90" s="1">
        <v>0.14000000000000001</v>
      </c>
      <c r="G90" t="str">
        <f t="shared" si="11"/>
        <v>Low Discount</v>
      </c>
      <c r="H90" s="8">
        <f t="shared" si="12"/>
        <v>0</v>
      </c>
      <c r="I90" s="8" t="str">
        <f t="shared" si="13"/>
        <v/>
      </c>
      <c r="J90">
        <f t="shared" si="14"/>
        <v>1468</v>
      </c>
      <c r="K90">
        <f t="shared" si="15"/>
        <v>1699</v>
      </c>
      <c r="L90">
        <f t="shared" si="16"/>
        <v>231</v>
      </c>
      <c r="M90" t="str">
        <f t="shared" si="17"/>
        <v>Excellent</v>
      </c>
      <c r="N90" t="str">
        <f t="shared" si="18"/>
        <v>Low Discount</v>
      </c>
    </row>
    <row r="91" spans="1:14" ht="13" x14ac:dyDescent="0.3">
      <c r="A91" t="s">
        <v>189</v>
      </c>
      <c r="B91">
        <v>630</v>
      </c>
      <c r="C91" t="s">
        <v>190</v>
      </c>
      <c r="D91" s="1">
        <v>0.43</v>
      </c>
      <c r="G91" t="str">
        <f t="shared" si="11"/>
        <v>High Discount</v>
      </c>
      <c r="H91" s="8">
        <f t="shared" si="12"/>
        <v>0</v>
      </c>
      <c r="I91" s="8" t="str">
        <f t="shared" si="13"/>
        <v/>
      </c>
      <c r="J91">
        <f t="shared" si="14"/>
        <v>630</v>
      </c>
      <c r="K91">
        <f t="shared" si="15"/>
        <v>1100</v>
      </c>
      <c r="L91">
        <f t="shared" si="16"/>
        <v>470</v>
      </c>
      <c r="M91" t="str">
        <f t="shared" si="17"/>
        <v>Excellent</v>
      </c>
      <c r="N91" t="str">
        <f t="shared" si="18"/>
        <v>High Discount</v>
      </c>
    </row>
    <row r="92" spans="1:14" ht="13" x14ac:dyDescent="0.3">
      <c r="A92" t="s">
        <v>191</v>
      </c>
      <c r="B92">
        <v>850</v>
      </c>
      <c r="C92" t="s">
        <v>192</v>
      </c>
      <c r="D92" s="1">
        <v>0.5</v>
      </c>
      <c r="G92" t="str">
        <f t="shared" si="11"/>
        <v>High Discount</v>
      </c>
      <c r="H92" s="8">
        <f t="shared" si="12"/>
        <v>0</v>
      </c>
      <c r="I92" s="8" t="str">
        <f t="shared" si="13"/>
        <v/>
      </c>
      <c r="J92">
        <f t="shared" si="14"/>
        <v>850</v>
      </c>
      <c r="K92">
        <f t="shared" si="15"/>
        <v>1700</v>
      </c>
      <c r="L92">
        <f t="shared" si="16"/>
        <v>850</v>
      </c>
      <c r="M92" t="str">
        <f t="shared" si="17"/>
        <v>Excellent</v>
      </c>
      <c r="N92" t="str">
        <f t="shared" si="18"/>
        <v>High Discount</v>
      </c>
    </row>
    <row r="93" spans="1:14" ht="13" x14ac:dyDescent="0.3">
      <c r="A93" t="s">
        <v>193</v>
      </c>
      <c r="B93" s="4">
        <v>1300</v>
      </c>
      <c r="C93" t="s">
        <v>132</v>
      </c>
      <c r="D93" s="1">
        <v>0.48</v>
      </c>
      <c r="G93" t="str">
        <f t="shared" si="11"/>
        <v>High Discount</v>
      </c>
      <c r="H93" s="8">
        <f t="shared" si="12"/>
        <v>0</v>
      </c>
      <c r="I93" s="8" t="str">
        <f t="shared" si="13"/>
        <v/>
      </c>
      <c r="J93">
        <f t="shared" si="14"/>
        <v>1300</v>
      </c>
      <c r="K93">
        <f t="shared" si="15"/>
        <v>2500</v>
      </c>
      <c r="L93">
        <f t="shared" si="16"/>
        <v>1200</v>
      </c>
      <c r="M93" t="str">
        <f t="shared" si="17"/>
        <v>Excellent</v>
      </c>
      <c r="N93" t="str">
        <f t="shared" si="18"/>
        <v>High Discount</v>
      </c>
    </row>
    <row r="94" spans="1:14" ht="13" x14ac:dyDescent="0.3">
      <c r="A94" t="s">
        <v>194</v>
      </c>
      <c r="B94">
        <v>105</v>
      </c>
      <c r="C94" t="s">
        <v>195</v>
      </c>
      <c r="D94" s="1">
        <v>0.48</v>
      </c>
      <c r="G94" t="str">
        <f t="shared" si="11"/>
        <v>High Discount</v>
      </c>
      <c r="H94" s="8">
        <f t="shared" si="12"/>
        <v>0</v>
      </c>
      <c r="I94" s="8" t="str">
        <f t="shared" si="13"/>
        <v/>
      </c>
      <c r="J94">
        <f t="shared" si="14"/>
        <v>105</v>
      </c>
      <c r="K94">
        <f t="shared" si="15"/>
        <v>200</v>
      </c>
      <c r="L94">
        <f t="shared" si="16"/>
        <v>95</v>
      </c>
      <c r="M94" t="str">
        <f t="shared" si="17"/>
        <v>Excellent</v>
      </c>
      <c r="N94" t="str">
        <f t="shared" si="18"/>
        <v>High Discount</v>
      </c>
    </row>
    <row r="95" spans="1:14" ht="13" x14ac:dyDescent="0.3">
      <c r="A95" t="s">
        <v>196</v>
      </c>
      <c r="B95">
        <v>899</v>
      </c>
      <c r="C95" t="s">
        <v>116</v>
      </c>
      <c r="D95" s="1">
        <v>0.47</v>
      </c>
      <c r="G95" t="str">
        <f t="shared" si="11"/>
        <v>High Discount</v>
      </c>
      <c r="H95" s="8">
        <f t="shared" si="12"/>
        <v>0</v>
      </c>
      <c r="I95" s="8" t="str">
        <f t="shared" si="13"/>
        <v/>
      </c>
      <c r="J95">
        <f t="shared" si="14"/>
        <v>899</v>
      </c>
      <c r="K95">
        <f t="shared" si="15"/>
        <v>1699</v>
      </c>
      <c r="L95">
        <f t="shared" si="16"/>
        <v>800</v>
      </c>
      <c r="M95" t="str">
        <f t="shared" si="17"/>
        <v>Excellent</v>
      </c>
      <c r="N95" t="str">
        <f t="shared" si="18"/>
        <v>High Discount</v>
      </c>
    </row>
    <row r="96" spans="1:14" ht="13" x14ac:dyDescent="0.3">
      <c r="A96" t="s">
        <v>197</v>
      </c>
      <c r="B96" s="4">
        <v>1200</v>
      </c>
      <c r="C96" t="s">
        <v>198</v>
      </c>
      <c r="D96" s="1">
        <v>0.5</v>
      </c>
      <c r="G96" t="str">
        <f t="shared" si="11"/>
        <v>High Discount</v>
      </c>
      <c r="H96" s="8">
        <f t="shared" si="12"/>
        <v>0</v>
      </c>
      <c r="I96" s="8" t="str">
        <f t="shared" si="13"/>
        <v/>
      </c>
      <c r="J96">
        <f t="shared" si="14"/>
        <v>1200</v>
      </c>
      <c r="K96">
        <f t="shared" si="15"/>
        <v>2400</v>
      </c>
      <c r="L96">
        <f t="shared" si="16"/>
        <v>1200</v>
      </c>
      <c r="M96" t="str">
        <f t="shared" si="17"/>
        <v>Excellent</v>
      </c>
      <c r="N96" t="str">
        <f t="shared" si="18"/>
        <v>High Discount</v>
      </c>
    </row>
    <row r="97" spans="1:14" ht="13" x14ac:dyDescent="0.3">
      <c r="A97" t="s">
        <v>199</v>
      </c>
      <c r="B97" s="4">
        <v>1526</v>
      </c>
      <c r="C97" t="s">
        <v>115</v>
      </c>
      <c r="D97" s="1">
        <v>0.08</v>
      </c>
      <c r="G97" t="str">
        <f t="shared" si="11"/>
        <v>Low Discount</v>
      </c>
      <c r="H97" s="8">
        <f t="shared" si="12"/>
        <v>0</v>
      </c>
      <c r="I97" s="8" t="str">
        <f t="shared" si="13"/>
        <v/>
      </c>
      <c r="J97">
        <f t="shared" si="14"/>
        <v>1526</v>
      </c>
      <c r="K97">
        <f t="shared" si="15"/>
        <v>1660</v>
      </c>
      <c r="L97">
        <f t="shared" si="16"/>
        <v>134</v>
      </c>
      <c r="M97" t="str">
        <f t="shared" si="17"/>
        <v>Excellent</v>
      </c>
      <c r="N97" t="str">
        <f t="shared" si="18"/>
        <v>Low Discount</v>
      </c>
    </row>
    <row r="98" spans="1:14" ht="13" x14ac:dyDescent="0.3">
      <c r="A98" t="s">
        <v>200</v>
      </c>
      <c r="B98" s="4">
        <v>1462</v>
      </c>
      <c r="C98" t="s">
        <v>120</v>
      </c>
      <c r="D98" s="1">
        <v>0.02</v>
      </c>
      <c r="G98" t="str">
        <f t="shared" ref="G98:G113" si="19">IF(ISBLANK(D98),"",IF(D98&lt;20%,"Low Discount",IF(D98&lt;=40%,"Medium Discount","High Discount")))</f>
        <v>Low Discount</v>
      </c>
      <c r="H98" s="8">
        <f t="shared" ref="H98:H113" si="20">IFERROR(ABS(E98),"No Review")</f>
        <v>0</v>
      </c>
      <c r="I98" s="8" t="str">
        <f t="shared" si="13"/>
        <v/>
      </c>
      <c r="J98">
        <f t="shared" si="14"/>
        <v>1462</v>
      </c>
      <c r="K98">
        <f t="shared" si="15"/>
        <v>1499</v>
      </c>
      <c r="L98">
        <f t="shared" si="16"/>
        <v>37</v>
      </c>
      <c r="M98" t="str">
        <f t="shared" si="17"/>
        <v>Excellent</v>
      </c>
      <c r="N98" t="str">
        <f t="shared" si="18"/>
        <v>Low Discount</v>
      </c>
    </row>
    <row r="99" spans="1:14" ht="13" x14ac:dyDescent="0.3">
      <c r="A99" t="s">
        <v>201</v>
      </c>
      <c r="B99">
        <v>248</v>
      </c>
      <c r="C99" t="s">
        <v>202</v>
      </c>
      <c r="D99" s="1">
        <v>0.49</v>
      </c>
      <c r="G99" t="str">
        <f t="shared" si="19"/>
        <v>High Discount</v>
      </c>
      <c r="H99" s="8">
        <f t="shared" si="20"/>
        <v>0</v>
      </c>
      <c r="I99" s="8" t="str">
        <f t="shared" si="13"/>
        <v/>
      </c>
      <c r="J99">
        <f t="shared" ref="J99:J113" si="21">IF(ISBLANK(B99),"",VALUE(SUBSTITUTE(SUBSTITUTE(B99,"KSh ",""),",","")))</f>
        <v>248</v>
      </c>
      <c r="K99">
        <f t="shared" si="15"/>
        <v>486</v>
      </c>
      <c r="L99">
        <f t="shared" si="16"/>
        <v>238</v>
      </c>
      <c r="M99" t="str">
        <f t="shared" si="17"/>
        <v>Excellent</v>
      </c>
      <c r="N99" t="str">
        <f t="shared" si="18"/>
        <v>High Discount</v>
      </c>
    </row>
    <row r="100" spans="1:14" ht="13" x14ac:dyDescent="0.3">
      <c r="A100" t="s">
        <v>203</v>
      </c>
      <c r="B100" s="4">
        <v>3546</v>
      </c>
      <c r="C100" t="s">
        <v>50</v>
      </c>
      <c r="D100" s="1">
        <v>0.04</v>
      </c>
      <c r="G100" t="str">
        <f t="shared" si="19"/>
        <v>Low Discount</v>
      </c>
      <c r="H100" s="8">
        <f t="shared" si="20"/>
        <v>0</v>
      </c>
      <c r="I100" s="8" t="str">
        <f t="shared" si="13"/>
        <v/>
      </c>
      <c r="J100">
        <f t="shared" si="21"/>
        <v>3546</v>
      </c>
      <c r="K100">
        <f t="shared" si="15"/>
        <v>3699</v>
      </c>
      <c r="L100">
        <f t="shared" si="16"/>
        <v>153</v>
      </c>
      <c r="M100" t="str">
        <f t="shared" si="17"/>
        <v>Excellent</v>
      </c>
      <c r="N100" t="str">
        <f t="shared" si="18"/>
        <v>Low Discount</v>
      </c>
    </row>
    <row r="101" spans="1:14" ht="13" x14ac:dyDescent="0.3">
      <c r="A101" t="s">
        <v>204</v>
      </c>
      <c r="B101">
        <v>525</v>
      </c>
      <c r="C101" t="s">
        <v>205</v>
      </c>
      <c r="D101" s="1">
        <v>0.49</v>
      </c>
      <c r="G101" t="str">
        <f t="shared" si="19"/>
        <v>High Discount</v>
      </c>
      <c r="H101" s="8">
        <f t="shared" si="20"/>
        <v>0</v>
      </c>
      <c r="I101" s="8" t="str">
        <f t="shared" si="13"/>
        <v/>
      </c>
      <c r="J101">
        <f t="shared" si="21"/>
        <v>525</v>
      </c>
      <c r="K101">
        <f t="shared" si="15"/>
        <v>1029</v>
      </c>
      <c r="L101">
        <f t="shared" si="16"/>
        <v>504</v>
      </c>
      <c r="M101" t="str">
        <f t="shared" si="17"/>
        <v>Excellent</v>
      </c>
      <c r="N101" t="str">
        <f t="shared" si="18"/>
        <v>High Discount</v>
      </c>
    </row>
    <row r="102" spans="1:14" ht="13" x14ac:dyDescent="0.3">
      <c r="A102" t="s">
        <v>206</v>
      </c>
      <c r="B102" s="4">
        <v>1080</v>
      </c>
      <c r="C102" t="s">
        <v>207</v>
      </c>
      <c r="D102" s="1">
        <v>0.42</v>
      </c>
      <c r="G102" t="str">
        <f t="shared" si="19"/>
        <v>High Discount</v>
      </c>
      <c r="H102" s="8">
        <f t="shared" si="20"/>
        <v>0</v>
      </c>
      <c r="I102" s="8" t="str">
        <f t="shared" si="13"/>
        <v/>
      </c>
      <c r="J102">
        <f t="shared" si="21"/>
        <v>1080</v>
      </c>
      <c r="K102">
        <f t="shared" si="15"/>
        <v>1874</v>
      </c>
      <c r="L102">
        <f t="shared" si="16"/>
        <v>794</v>
      </c>
      <c r="M102" t="str">
        <f t="shared" si="17"/>
        <v>Excellent</v>
      </c>
      <c r="N102" t="str">
        <f t="shared" si="18"/>
        <v>High Discount</v>
      </c>
    </row>
    <row r="103" spans="1:14" ht="13" x14ac:dyDescent="0.3">
      <c r="A103" t="s">
        <v>208</v>
      </c>
      <c r="B103" s="4">
        <v>3640</v>
      </c>
      <c r="C103" t="s">
        <v>209</v>
      </c>
      <c r="D103" s="1">
        <v>0.21</v>
      </c>
      <c r="E103">
        <v>-1</v>
      </c>
      <c r="F103" t="s">
        <v>44</v>
      </c>
      <c r="G103" t="str">
        <f t="shared" si="19"/>
        <v>Medium Discount</v>
      </c>
      <c r="H103" s="8">
        <f t="shared" si="20"/>
        <v>1</v>
      </c>
      <c r="I103" s="8">
        <f t="shared" si="13"/>
        <v>5</v>
      </c>
      <c r="J103">
        <f t="shared" si="21"/>
        <v>3640</v>
      </c>
      <c r="K103">
        <f t="shared" si="15"/>
        <v>4588</v>
      </c>
      <c r="L103">
        <f t="shared" si="16"/>
        <v>948</v>
      </c>
      <c r="M103" t="str">
        <f t="shared" si="17"/>
        <v>Excellent</v>
      </c>
      <c r="N103" t="str">
        <f t="shared" si="18"/>
        <v>Medium Discount</v>
      </c>
    </row>
    <row r="104" spans="1:14" ht="13" x14ac:dyDescent="0.3">
      <c r="A104" t="s">
        <v>210</v>
      </c>
      <c r="B104" s="4">
        <v>1420</v>
      </c>
      <c r="C104" t="s">
        <v>211</v>
      </c>
      <c r="D104" s="1">
        <v>0.41</v>
      </c>
      <c r="G104" t="str">
        <f t="shared" si="19"/>
        <v>High Discount</v>
      </c>
      <c r="H104" s="8">
        <f t="shared" si="20"/>
        <v>0</v>
      </c>
      <c r="I104" s="8" t="str">
        <f t="shared" si="13"/>
        <v/>
      </c>
      <c r="J104">
        <f t="shared" si="21"/>
        <v>1420</v>
      </c>
      <c r="K104">
        <f t="shared" si="15"/>
        <v>2420</v>
      </c>
      <c r="L104">
        <f t="shared" si="16"/>
        <v>1000</v>
      </c>
      <c r="M104" t="str">
        <f t="shared" si="17"/>
        <v>Excellent</v>
      </c>
      <c r="N104" t="str">
        <f t="shared" si="18"/>
        <v>High Discount</v>
      </c>
    </row>
    <row r="105" spans="1:14" ht="13" x14ac:dyDescent="0.3">
      <c r="A105" t="s">
        <v>212</v>
      </c>
      <c r="B105" s="4">
        <v>1875</v>
      </c>
      <c r="C105" t="s">
        <v>213</v>
      </c>
      <c r="D105" s="1">
        <v>0.01</v>
      </c>
      <c r="G105" t="str">
        <f t="shared" si="19"/>
        <v>Low Discount</v>
      </c>
      <c r="H105" s="8">
        <f t="shared" si="20"/>
        <v>0</v>
      </c>
      <c r="I105" s="8" t="str">
        <f t="shared" si="13"/>
        <v/>
      </c>
      <c r="J105">
        <f t="shared" si="21"/>
        <v>1875</v>
      </c>
      <c r="K105">
        <f t="shared" si="15"/>
        <v>1899</v>
      </c>
      <c r="L105">
        <f t="shared" si="16"/>
        <v>24</v>
      </c>
      <c r="M105" t="str">
        <f t="shared" si="17"/>
        <v>Excellent</v>
      </c>
      <c r="N105" t="str">
        <f t="shared" si="18"/>
        <v>Low Discount</v>
      </c>
    </row>
    <row r="106" spans="1:14" ht="13" x14ac:dyDescent="0.3">
      <c r="A106" t="s">
        <v>214</v>
      </c>
      <c r="B106">
        <v>198</v>
      </c>
      <c r="C106" t="s">
        <v>215</v>
      </c>
      <c r="D106" s="1">
        <v>0.24</v>
      </c>
      <c r="G106" t="str">
        <f t="shared" si="19"/>
        <v>Medium Discount</v>
      </c>
      <c r="H106" s="8">
        <f t="shared" si="20"/>
        <v>0</v>
      </c>
      <c r="I106" s="8" t="str">
        <f t="shared" si="13"/>
        <v/>
      </c>
      <c r="J106">
        <f t="shared" si="21"/>
        <v>198</v>
      </c>
      <c r="K106">
        <f t="shared" si="15"/>
        <v>260</v>
      </c>
      <c r="L106">
        <f t="shared" si="16"/>
        <v>62</v>
      </c>
      <c r="M106" t="str">
        <f t="shared" si="17"/>
        <v>Excellent</v>
      </c>
      <c r="N106" t="str">
        <f t="shared" si="18"/>
        <v>Medium Discount</v>
      </c>
    </row>
    <row r="107" spans="1:14" ht="13" x14ac:dyDescent="0.3">
      <c r="A107" t="s">
        <v>216</v>
      </c>
      <c r="B107" s="4">
        <v>1150</v>
      </c>
      <c r="C107" t="s">
        <v>217</v>
      </c>
      <c r="D107" s="1">
        <v>0.34</v>
      </c>
      <c r="G107" t="str">
        <f t="shared" si="19"/>
        <v>Medium Discount</v>
      </c>
      <c r="H107" s="8">
        <f t="shared" si="20"/>
        <v>0</v>
      </c>
      <c r="I107" s="8" t="str">
        <f t="shared" si="13"/>
        <v/>
      </c>
      <c r="J107">
        <f t="shared" si="21"/>
        <v>1150</v>
      </c>
      <c r="K107">
        <f t="shared" si="15"/>
        <v>1737</v>
      </c>
      <c r="L107">
        <f t="shared" si="16"/>
        <v>587</v>
      </c>
      <c r="M107" t="str">
        <f t="shared" si="17"/>
        <v>Excellent</v>
      </c>
      <c r="N107" t="str">
        <f t="shared" si="18"/>
        <v>Medium Discount</v>
      </c>
    </row>
    <row r="108" spans="1:14" ht="13" x14ac:dyDescent="0.3">
      <c r="A108" t="s">
        <v>218</v>
      </c>
      <c r="B108" s="4">
        <v>1190</v>
      </c>
      <c r="C108" t="s">
        <v>219</v>
      </c>
      <c r="D108" s="1">
        <v>0.34</v>
      </c>
      <c r="G108" t="str">
        <f t="shared" si="19"/>
        <v>Medium Discount</v>
      </c>
      <c r="H108" s="8">
        <f t="shared" si="20"/>
        <v>0</v>
      </c>
      <c r="I108" s="8" t="str">
        <f t="shared" si="13"/>
        <v/>
      </c>
      <c r="J108">
        <f t="shared" si="21"/>
        <v>1190</v>
      </c>
      <c r="K108">
        <f t="shared" si="15"/>
        <v>1810</v>
      </c>
      <c r="L108">
        <f t="shared" si="16"/>
        <v>620</v>
      </c>
      <c r="M108" t="str">
        <f t="shared" si="17"/>
        <v>Excellent</v>
      </c>
      <c r="N108" t="str">
        <f t="shared" si="18"/>
        <v>Medium Discount</v>
      </c>
    </row>
    <row r="109" spans="1:14" ht="13" x14ac:dyDescent="0.3">
      <c r="A109" t="s">
        <v>220</v>
      </c>
      <c r="B109" s="4">
        <v>1658</v>
      </c>
      <c r="C109" t="s">
        <v>116</v>
      </c>
      <c r="D109" s="1">
        <v>0.02</v>
      </c>
      <c r="G109" t="str">
        <f t="shared" si="19"/>
        <v>Low Discount</v>
      </c>
      <c r="H109" s="8">
        <f t="shared" si="20"/>
        <v>0</v>
      </c>
      <c r="I109" s="8" t="str">
        <f t="shared" si="13"/>
        <v/>
      </c>
      <c r="J109">
        <f t="shared" si="21"/>
        <v>1658</v>
      </c>
      <c r="K109">
        <f t="shared" si="15"/>
        <v>1699</v>
      </c>
      <c r="L109">
        <f t="shared" si="16"/>
        <v>41</v>
      </c>
      <c r="M109" t="str">
        <f t="shared" si="17"/>
        <v>Excellent</v>
      </c>
      <c r="N109" t="str">
        <f t="shared" si="18"/>
        <v>Low Discount</v>
      </c>
    </row>
    <row r="110" spans="1:14" ht="13" x14ac:dyDescent="0.3">
      <c r="A110" t="s">
        <v>221</v>
      </c>
      <c r="B110" s="4">
        <v>1768</v>
      </c>
      <c r="C110" t="s">
        <v>173</v>
      </c>
      <c r="D110" s="1">
        <v>0.02</v>
      </c>
      <c r="G110" t="str">
        <f t="shared" si="19"/>
        <v>Low Discount</v>
      </c>
      <c r="H110" s="8">
        <f t="shared" si="20"/>
        <v>0</v>
      </c>
      <c r="I110" s="8" t="str">
        <f t="shared" si="13"/>
        <v/>
      </c>
      <c r="J110">
        <f t="shared" si="21"/>
        <v>1768</v>
      </c>
      <c r="K110">
        <f t="shared" si="15"/>
        <v>1799</v>
      </c>
      <c r="L110">
        <f t="shared" si="16"/>
        <v>31</v>
      </c>
      <c r="M110" t="str">
        <f t="shared" si="17"/>
        <v>Excellent</v>
      </c>
      <c r="N110" t="str">
        <f t="shared" si="18"/>
        <v>Low Discount</v>
      </c>
    </row>
    <row r="111" spans="1:14" ht="13" x14ac:dyDescent="0.3">
      <c r="A111" t="s">
        <v>222</v>
      </c>
      <c r="B111">
        <v>199</v>
      </c>
      <c r="C111" t="s">
        <v>223</v>
      </c>
      <c r="D111" s="1">
        <v>0.64</v>
      </c>
      <c r="G111" t="str">
        <f t="shared" si="19"/>
        <v>High Discount</v>
      </c>
      <c r="H111" s="8">
        <f t="shared" si="20"/>
        <v>0</v>
      </c>
      <c r="I111" s="8" t="str">
        <f t="shared" si="13"/>
        <v/>
      </c>
      <c r="J111">
        <f t="shared" si="21"/>
        <v>199</v>
      </c>
      <c r="K111">
        <f t="shared" si="15"/>
        <v>553</v>
      </c>
      <c r="L111">
        <f t="shared" si="16"/>
        <v>354</v>
      </c>
      <c r="M111" t="str">
        <f t="shared" si="17"/>
        <v>Excellent</v>
      </c>
      <c r="N111" t="str">
        <f t="shared" si="18"/>
        <v>High Discount</v>
      </c>
    </row>
    <row r="112" spans="1:14" ht="13" x14ac:dyDescent="0.3">
      <c r="A112" t="s">
        <v>224</v>
      </c>
      <c r="B112">
        <v>450</v>
      </c>
      <c r="C112" t="s">
        <v>124</v>
      </c>
      <c r="D112" s="1">
        <v>0.5</v>
      </c>
      <c r="E112">
        <v>-1</v>
      </c>
      <c r="F112" t="s">
        <v>225</v>
      </c>
      <c r="G112" t="str">
        <f t="shared" si="19"/>
        <v>High Discount</v>
      </c>
      <c r="H112" s="8">
        <f t="shared" si="20"/>
        <v>1</v>
      </c>
      <c r="I112" s="8">
        <f t="shared" si="13"/>
        <v>2</v>
      </c>
      <c r="J112">
        <f t="shared" si="21"/>
        <v>450</v>
      </c>
      <c r="K112">
        <f t="shared" si="15"/>
        <v>900</v>
      </c>
      <c r="L112">
        <f t="shared" si="16"/>
        <v>450</v>
      </c>
      <c r="M112" t="str">
        <f t="shared" si="17"/>
        <v>Poor</v>
      </c>
      <c r="N112" t="str">
        <f t="shared" si="18"/>
        <v>High Discount</v>
      </c>
    </row>
    <row r="113" spans="1:14" ht="13" x14ac:dyDescent="0.3">
      <c r="A113" t="s">
        <v>226</v>
      </c>
      <c r="B113">
        <v>169</v>
      </c>
      <c r="C113" t="s">
        <v>227</v>
      </c>
      <c r="D113" s="1">
        <v>0.47</v>
      </c>
      <c r="G113" t="str">
        <f t="shared" si="19"/>
        <v>High Discount</v>
      </c>
      <c r="H113" s="8">
        <f t="shared" si="20"/>
        <v>0</v>
      </c>
      <c r="I113" s="8" t="str">
        <f t="shared" si="13"/>
        <v/>
      </c>
      <c r="J113">
        <f t="shared" si="21"/>
        <v>169</v>
      </c>
      <c r="K113">
        <f t="shared" si="15"/>
        <v>320</v>
      </c>
      <c r="L113">
        <f t="shared" si="16"/>
        <v>151</v>
      </c>
      <c r="M113" t="str">
        <f t="shared" si="17"/>
        <v>Excellent</v>
      </c>
      <c r="N113" t="str">
        <f t="shared" si="18"/>
        <v>High Discount</v>
      </c>
    </row>
    <row r="114" spans="1:14" ht="13" x14ac:dyDescent="0.3"/>
    <row r="115" spans="1:14" ht="13" x14ac:dyDescent="0.3"/>
    <row r="116" spans="1:14" ht="13"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C6FC-6A4C-4180-BB44-FAD5B3685374}">
  <dimension ref="A3:B14"/>
  <sheetViews>
    <sheetView workbookViewId="0">
      <selection activeCell="B21" sqref="B21"/>
    </sheetView>
  </sheetViews>
  <sheetFormatPr defaultRowHeight="13" x14ac:dyDescent="0.3"/>
  <cols>
    <col min="1" max="1" width="63.26953125" bestFit="1" customWidth="1"/>
    <col min="2" max="2" width="21.08984375" bestFit="1" customWidth="1"/>
  </cols>
  <sheetData>
    <row r="3" spans="1:2" x14ac:dyDescent="0.3">
      <c r="A3" s="10" t="s">
        <v>239</v>
      </c>
      <c r="B3" t="s">
        <v>245</v>
      </c>
    </row>
    <row r="4" spans="1:2" x14ac:dyDescent="0.3">
      <c r="A4" s="11" t="s">
        <v>87</v>
      </c>
      <c r="B4" s="8">
        <v>5</v>
      </c>
    </row>
    <row r="5" spans="1:2" x14ac:dyDescent="0.3">
      <c r="A5" s="11" t="s">
        <v>47</v>
      </c>
      <c r="B5" s="8">
        <v>5</v>
      </c>
    </row>
    <row r="6" spans="1:2" x14ac:dyDescent="0.3">
      <c r="A6" s="11" t="s">
        <v>208</v>
      </c>
      <c r="B6" s="8">
        <v>5</v>
      </c>
    </row>
    <row r="7" spans="1:2" x14ac:dyDescent="0.3">
      <c r="A7" s="11" t="s">
        <v>42</v>
      </c>
      <c r="B7" s="8">
        <v>5</v>
      </c>
    </row>
    <row r="8" spans="1:2" x14ac:dyDescent="0.3">
      <c r="A8" s="11" t="s">
        <v>45</v>
      </c>
      <c r="B8" s="8">
        <v>5</v>
      </c>
    </row>
    <row r="9" spans="1:2" x14ac:dyDescent="0.3">
      <c r="A9" s="11" t="s">
        <v>177</v>
      </c>
      <c r="B9" s="8">
        <v>5</v>
      </c>
    </row>
    <row r="10" spans="1:2" x14ac:dyDescent="0.3">
      <c r="A10" s="11" t="s">
        <v>85</v>
      </c>
      <c r="B10" s="8">
        <v>5</v>
      </c>
    </row>
    <row r="11" spans="1:2" x14ac:dyDescent="0.3">
      <c r="A11" s="11" t="s">
        <v>28</v>
      </c>
      <c r="B11" s="8">
        <v>4.8</v>
      </c>
    </row>
    <row r="12" spans="1:2" x14ac:dyDescent="0.3">
      <c r="A12" s="11" t="s">
        <v>19</v>
      </c>
      <c r="B12" s="8">
        <v>4.8</v>
      </c>
    </row>
    <row r="13" spans="1:2" x14ac:dyDescent="0.3">
      <c r="A13" s="11" t="s">
        <v>36</v>
      </c>
      <c r="B13" s="8">
        <v>4.8</v>
      </c>
    </row>
    <row r="14" spans="1:2" x14ac:dyDescent="0.3">
      <c r="A14" s="11" t="s">
        <v>241</v>
      </c>
      <c r="B14" s="8">
        <v>4.9399999999999995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C872-708D-4CF5-B16E-629DC6BCAEF2}">
  <dimension ref="A3:C8"/>
  <sheetViews>
    <sheetView workbookViewId="0">
      <selection activeCell="C4" sqref="C4"/>
    </sheetView>
  </sheetViews>
  <sheetFormatPr defaultRowHeight="13" x14ac:dyDescent="0.3"/>
  <cols>
    <col min="1" max="1" width="15.08984375" bestFit="1" customWidth="1"/>
    <col min="2" max="2" width="21.08984375" bestFit="1" customWidth="1"/>
    <col min="3" max="3" width="17.36328125" bestFit="1" customWidth="1"/>
  </cols>
  <sheetData>
    <row r="3" spans="1:3" x14ac:dyDescent="0.3">
      <c r="A3" s="10" t="s">
        <v>239</v>
      </c>
      <c r="B3" t="s">
        <v>245</v>
      </c>
      <c r="C3" t="s">
        <v>248</v>
      </c>
    </row>
    <row r="4" spans="1:3" x14ac:dyDescent="0.3">
      <c r="A4" s="11" t="s">
        <v>242</v>
      </c>
      <c r="B4">
        <v>3.6133333333333324</v>
      </c>
      <c r="C4">
        <v>0.48203389830508458</v>
      </c>
    </row>
    <row r="5" spans="1:3" x14ac:dyDescent="0.3">
      <c r="A5" s="11" t="s">
        <v>243</v>
      </c>
      <c r="B5">
        <v>3.7249999999999996</v>
      </c>
      <c r="C5">
        <v>7.2222222222222243E-2</v>
      </c>
    </row>
    <row r="6" spans="1:3" x14ac:dyDescent="0.3">
      <c r="A6" s="11" t="s">
        <v>244</v>
      </c>
      <c r="B6">
        <v>4.2782608695652184</v>
      </c>
      <c r="C6">
        <v>0.30999999999999994</v>
      </c>
    </row>
    <row r="7" spans="1:3" x14ac:dyDescent="0.3">
      <c r="A7" s="11" t="s">
        <v>240</v>
      </c>
      <c r="B7">
        <v>2</v>
      </c>
      <c r="C7">
        <v>0.36385321100917423</v>
      </c>
    </row>
    <row r="8" spans="1:3" x14ac:dyDescent="0.3">
      <c r="A8" s="11" t="s">
        <v>241</v>
      </c>
      <c r="B8">
        <v>3.8568965517241369</v>
      </c>
      <c r="C8">
        <v>0.36385321100917439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0F8C-0503-43FE-9D34-C31AE4E342C6}">
  <dimension ref="A3:D4"/>
  <sheetViews>
    <sheetView workbookViewId="0">
      <selection activeCell="E4" sqref="E4"/>
    </sheetView>
  </sheetViews>
  <sheetFormatPr defaultRowHeight="13" x14ac:dyDescent="0.3"/>
  <cols>
    <col min="1" max="1" width="25.36328125" bestFit="1" customWidth="1"/>
    <col min="2" max="2" width="21.08984375" bestFit="1" customWidth="1"/>
    <col min="3" max="3" width="21.6328125" bestFit="1" customWidth="1"/>
    <col min="4" max="4" width="17.36328125" bestFit="1" customWidth="1"/>
  </cols>
  <sheetData>
    <row r="3" spans="1:4" x14ac:dyDescent="0.3">
      <c r="A3" t="s">
        <v>246</v>
      </c>
      <c r="B3" t="s">
        <v>245</v>
      </c>
      <c r="C3" t="s">
        <v>247</v>
      </c>
      <c r="D3" t="s">
        <v>248</v>
      </c>
    </row>
    <row r="4" spans="1:4" x14ac:dyDescent="0.3">
      <c r="A4" s="4">
        <v>1220.5022935779816</v>
      </c>
      <c r="B4">
        <v>3.8568965517241374</v>
      </c>
      <c r="C4" s="4">
        <v>1860.4977883355175</v>
      </c>
      <c r="D4">
        <v>0.36385321100917417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2F6D-554B-48B7-87FE-ACCC70E1B5FA}">
  <dimension ref="A3:B4"/>
  <sheetViews>
    <sheetView workbookViewId="0">
      <selection activeCell="D10" sqref="D10"/>
    </sheetView>
  </sheetViews>
  <sheetFormatPr defaultRowHeight="13" x14ac:dyDescent="0.3"/>
  <cols>
    <col min="1" max="1" width="22.08984375" bestFit="1" customWidth="1"/>
    <col min="2" max="3" width="21.6328125" bestFit="1" customWidth="1"/>
  </cols>
  <sheetData>
    <row r="3" spans="1:2" x14ac:dyDescent="0.3">
      <c r="A3" t="s">
        <v>249</v>
      </c>
      <c r="B3" t="s">
        <v>250</v>
      </c>
    </row>
    <row r="4" spans="1:2" x14ac:dyDescent="0.3">
      <c r="A4" s="4">
        <v>3750</v>
      </c>
      <c r="B4" s="4">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94E0-D9FA-468E-8C7C-10EB540B308B}">
  <dimension ref="A3:B8"/>
  <sheetViews>
    <sheetView workbookViewId="0">
      <selection activeCell="D13" sqref="D13"/>
    </sheetView>
  </sheetViews>
  <sheetFormatPr defaultRowHeight="13" x14ac:dyDescent="0.3"/>
  <cols>
    <col min="1" max="1" width="12.453125" bestFit="1" customWidth="1"/>
    <col min="2" max="2" width="14.6328125" bestFit="1" customWidth="1"/>
  </cols>
  <sheetData>
    <row r="3" spans="1:2" x14ac:dyDescent="0.3">
      <c r="A3" s="10" t="s">
        <v>239</v>
      </c>
      <c r="B3" t="s">
        <v>253</v>
      </c>
    </row>
    <row r="4" spans="1:2" x14ac:dyDescent="0.3">
      <c r="A4" s="11" t="s">
        <v>238</v>
      </c>
      <c r="B4">
        <v>22</v>
      </c>
    </row>
    <row r="5" spans="1:2" x14ac:dyDescent="0.3">
      <c r="A5" s="11" t="s">
        <v>251</v>
      </c>
      <c r="B5">
        <v>75</v>
      </c>
    </row>
    <row r="6" spans="1:2" x14ac:dyDescent="0.3">
      <c r="A6" s="11" t="s">
        <v>252</v>
      </c>
      <c r="B6">
        <v>12</v>
      </c>
    </row>
    <row r="7" spans="1:2" x14ac:dyDescent="0.3">
      <c r="A7" s="11" t="s">
        <v>240</v>
      </c>
      <c r="B7">
        <v>3</v>
      </c>
    </row>
    <row r="8" spans="1:2" x14ac:dyDescent="0.3">
      <c r="A8" s="11" t="s">
        <v>241</v>
      </c>
      <c r="B8">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9FD8-B4AF-45A0-B4F0-4682E887216B}">
  <dimension ref="A3:A4"/>
  <sheetViews>
    <sheetView workbookViewId="0">
      <selection activeCell="A4" sqref="A4"/>
    </sheetView>
  </sheetViews>
  <sheetFormatPr defaultRowHeight="13" x14ac:dyDescent="0.3"/>
  <cols>
    <col min="1" max="1" width="14.6328125" bestFit="1" customWidth="1"/>
  </cols>
  <sheetData>
    <row r="3" spans="1:1" x14ac:dyDescent="0.3">
      <c r="A3" t="s">
        <v>253</v>
      </c>
    </row>
    <row r="4" spans="1:1" x14ac:dyDescent="0.3">
      <c r="A4">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A600-C909-41A2-B2C2-4009FA17AA32}">
  <dimension ref="A3:A4"/>
  <sheetViews>
    <sheetView topLeftCell="A2" workbookViewId="0">
      <selection activeCell="A4" sqref="A4"/>
    </sheetView>
  </sheetViews>
  <sheetFormatPr defaultRowHeight="13" x14ac:dyDescent="0.3"/>
  <cols>
    <col min="1" max="1" width="21.08984375" bestFit="1" customWidth="1"/>
  </cols>
  <sheetData>
    <row r="3" spans="1:1" x14ac:dyDescent="0.3">
      <c r="A3" t="s">
        <v>245</v>
      </c>
    </row>
    <row r="4" spans="1:1" x14ac:dyDescent="0.3">
      <c r="A4">
        <v>3.8568965517241374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396F-A4C1-4D3D-B5D2-CFEB499EEFA8}">
  <dimension ref="A3:A4"/>
  <sheetViews>
    <sheetView workbookViewId="0">
      <selection activeCell="A4" sqref="A4"/>
    </sheetView>
  </sheetViews>
  <sheetFormatPr defaultRowHeight="13" x14ac:dyDescent="0.3"/>
  <cols>
    <col min="1" max="1" width="21.08984375" bestFit="1" customWidth="1"/>
  </cols>
  <sheetData>
    <row r="3" spans="1:1" x14ac:dyDescent="0.3">
      <c r="A3" t="s">
        <v>245</v>
      </c>
    </row>
    <row r="4" spans="1:1" x14ac:dyDescent="0.3">
      <c r="A4" s="3">
        <v>3.8894736842105258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4519-AFF4-4C65-AEBB-878512ADC4FE}">
  <dimension ref="A3:A4"/>
  <sheetViews>
    <sheetView workbookViewId="0">
      <selection activeCell="A4" sqref="A4"/>
    </sheetView>
  </sheetViews>
  <sheetFormatPr defaultRowHeight="13" x14ac:dyDescent="0.3"/>
  <cols>
    <col min="1" max="1" width="17.36328125" bestFit="1" customWidth="1"/>
  </cols>
  <sheetData>
    <row r="3" spans="1:1" x14ac:dyDescent="0.3">
      <c r="A3" t="s">
        <v>248</v>
      </c>
    </row>
    <row r="4" spans="1:1" x14ac:dyDescent="0.3">
      <c r="A4" s="5">
        <v>0.38000000000000034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323E-B460-4E49-B63F-D8A95C9AA107}">
  <dimension ref="A3:A4"/>
  <sheetViews>
    <sheetView workbookViewId="0">
      <selection activeCell="A4" sqref="A4"/>
    </sheetView>
  </sheetViews>
  <sheetFormatPr defaultRowHeight="13" x14ac:dyDescent="0.3"/>
  <cols>
    <col min="1" max="1" width="14.1796875" bestFit="1" customWidth="1"/>
  </cols>
  <sheetData>
    <row r="3" spans="1:1" x14ac:dyDescent="0.3">
      <c r="A3" t="s">
        <v>254</v>
      </c>
    </row>
    <row r="4" spans="1:1" x14ac:dyDescent="0.3">
      <c r="A4">
        <v>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A352-417E-4033-96D0-C181DB1DA82F}">
  <dimension ref="A3:B113"/>
  <sheetViews>
    <sheetView workbookViewId="0">
      <selection activeCell="C10" sqref="C10"/>
    </sheetView>
  </sheetViews>
  <sheetFormatPr defaultRowHeight="13" x14ac:dyDescent="0.3"/>
  <cols>
    <col min="1" max="1" width="88.26953125" bestFit="1" customWidth="1"/>
    <col min="2" max="2" width="17.81640625" bestFit="1" customWidth="1"/>
  </cols>
  <sheetData>
    <row r="3" spans="1:2" x14ac:dyDescent="0.3">
      <c r="A3" s="10" t="s">
        <v>239</v>
      </c>
      <c r="B3" t="s">
        <v>255</v>
      </c>
    </row>
    <row r="4" spans="1:2" x14ac:dyDescent="0.3">
      <c r="A4" s="11" t="s">
        <v>90</v>
      </c>
      <c r="B4">
        <v>4.5</v>
      </c>
    </row>
    <row r="5" spans="1:2" x14ac:dyDescent="0.3">
      <c r="A5" s="11" t="s">
        <v>34</v>
      </c>
      <c r="B5">
        <v>4.7</v>
      </c>
    </row>
    <row r="6" spans="1:2" x14ac:dyDescent="0.3">
      <c r="A6" s="11" t="s">
        <v>5</v>
      </c>
      <c r="B6">
        <v>4.5</v>
      </c>
    </row>
    <row r="7" spans="1:2" x14ac:dyDescent="0.3">
      <c r="A7" s="11" t="s">
        <v>70</v>
      </c>
      <c r="B7">
        <v>3.8</v>
      </c>
    </row>
    <row r="8" spans="1:2" x14ac:dyDescent="0.3">
      <c r="A8" s="11" t="s">
        <v>77</v>
      </c>
      <c r="B8">
        <v>4.7</v>
      </c>
    </row>
    <row r="9" spans="1:2" x14ac:dyDescent="0.3">
      <c r="A9" s="11" t="s">
        <v>140</v>
      </c>
      <c r="B9">
        <v>2.8</v>
      </c>
    </row>
    <row r="10" spans="1:2" x14ac:dyDescent="0.3">
      <c r="A10" s="11" t="s">
        <v>128</v>
      </c>
      <c r="B10">
        <v>0</v>
      </c>
    </row>
    <row r="11" spans="1:2" x14ac:dyDescent="0.3">
      <c r="A11" s="11" t="s">
        <v>30</v>
      </c>
      <c r="B11">
        <v>3.8</v>
      </c>
    </row>
    <row r="12" spans="1:2" x14ac:dyDescent="0.3">
      <c r="A12" s="11" t="s">
        <v>25</v>
      </c>
      <c r="B12">
        <v>4.5999999999999996</v>
      </c>
    </row>
    <row r="13" spans="1:2" x14ac:dyDescent="0.3">
      <c r="A13" s="11" t="s">
        <v>214</v>
      </c>
      <c r="B13">
        <v>0</v>
      </c>
    </row>
    <row r="14" spans="1:2" x14ac:dyDescent="0.3">
      <c r="A14" s="11" t="s">
        <v>181</v>
      </c>
      <c r="B14">
        <v>0</v>
      </c>
    </row>
    <row r="15" spans="1:2" x14ac:dyDescent="0.3">
      <c r="A15" s="11" t="s">
        <v>22</v>
      </c>
      <c r="B15">
        <v>4</v>
      </c>
    </row>
    <row r="16" spans="1:2" x14ac:dyDescent="0.3">
      <c r="A16" s="11" t="s">
        <v>212</v>
      </c>
      <c r="B16">
        <v>0</v>
      </c>
    </row>
    <row r="17" spans="1:2" x14ac:dyDescent="0.3">
      <c r="A17" s="11" t="s">
        <v>197</v>
      </c>
      <c r="B17">
        <v>0</v>
      </c>
    </row>
    <row r="18" spans="1:2" x14ac:dyDescent="0.3">
      <c r="A18" s="11" t="s">
        <v>107</v>
      </c>
      <c r="B18">
        <v>0</v>
      </c>
    </row>
    <row r="19" spans="1:2" x14ac:dyDescent="0.3">
      <c r="A19" s="11" t="s">
        <v>169</v>
      </c>
      <c r="B19">
        <v>0</v>
      </c>
    </row>
    <row r="20" spans="1:2" x14ac:dyDescent="0.3">
      <c r="A20" s="11" t="s">
        <v>154</v>
      </c>
      <c r="B20">
        <v>3</v>
      </c>
    </row>
    <row r="21" spans="1:2" x14ac:dyDescent="0.3">
      <c r="A21" s="11" t="s">
        <v>152</v>
      </c>
      <c r="B21">
        <v>2.2999999999999998</v>
      </c>
    </row>
    <row r="22" spans="1:2" x14ac:dyDescent="0.3">
      <c r="A22" s="11" t="s">
        <v>51</v>
      </c>
      <c r="B22">
        <v>4.5999999999999996</v>
      </c>
    </row>
    <row r="23" spans="1:2" x14ac:dyDescent="0.3">
      <c r="A23" s="11" t="s">
        <v>171</v>
      </c>
      <c r="B23">
        <v>0</v>
      </c>
    </row>
    <row r="24" spans="1:2" x14ac:dyDescent="0.3">
      <c r="A24" s="11" t="s">
        <v>53</v>
      </c>
      <c r="B24">
        <v>3.3</v>
      </c>
    </row>
    <row r="25" spans="1:2" x14ac:dyDescent="0.3">
      <c r="A25" s="11" t="s">
        <v>201</v>
      </c>
      <c r="B25">
        <v>0</v>
      </c>
    </row>
    <row r="26" spans="1:2" x14ac:dyDescent="0.3">
      <c r="A26" s="11" t="s">
        <v>36</v>
      </c>
      <c r="B26">
        <v>4.8</v>
      </c>
    </row>
    <row r="27" spans="1:2" x14ac:dyDescent="0.3">
      <c r="A27" s="11" t="s">
        <v>93</v>
      </c>
      <c r="B27">
        <v>0</v>
      </c>
    </row>
    <row r="28" spans="1:2" x14ac:dyDescent="0.3">
      <c r="A28" s="11" t="s">
        <v>56</v>
      </c>
      <c r="B28">
        <v>0</v>
      </c>
    </row>
    <row r="29" spans="1:2" x14ac:dyDescent="0.3">
      <c r="A29" s="11" t="s">
        <v>131</v>
      </c>
      <c r="B29">
        <v>2.5</v>
      </c>
    </row>
    <row r="30" spans="1:2" x14ac:dyDescent="0.3">
      <c r="A30" s="11" t="s">
        <v>72</v>
      </c>
      <c r="B30">
        <v>4.0999999999999996</v>
      </c>
    </row>
    <row r="31" spans="1:2" x14ac:dyDescent="0.3">
      <c r="A31" s="11" t="s">
        <v>83</v>
      </c>
      <c r="B31">
        <v>4.5</v>
      </c>
    </row>
    <row r="32" spans="1:2" x14ac:dyDescent="0.3">
      <c r="A32" s="11" t="s">
        <v>81</v>
      </c>
      <c r="B32">
        <v>4.7</v>
      </c>
    </row>
    <row r="33" spans="1:2" x14ac:dyDescent="0.3">
      <c r="A33" s="11" t="s">
        <v>179</v>
      </c>
      <c r="B33">
        <v>0</v>
      </c>
    </row>
    <row r="34" spans="1:2" x14ac:dyDescent="0.3">
      <c r="A34" s="11" t="s">
        <v>137</v>
      </c>
      <c r="B34">
        <v>2.1</v>
      </c>
    </row>
    <row r="35" spans="1:2" x14ac:dyDescent="0.3">
      <c r="A35" s="11" t="s">
        <v>222</v>
      </c>
      <c r="B35">
        <v>0</v>
      </c>
    </row>
    <row r="36" spans="1:2" x14ac:dyDescent="0.3">
      <c r="A36" s="11" t="s">
        <v>196</v>
      </c>
      <c r="B36">
        <v>0</v>
      </c>
    </row>
    <row r="37" spans="1:2" x14ac:dyDescent="0.3">
      <c r="A37" s="11" t="s">
        <v>103</v>
      </c>
      <c r="B37">
        <v>0</v>
      </c>
    </row>
    <row r="38" spans="1:2" x14ac:dyDescent="0.3">
      <c r="A38" s="11" t="s">
        <v>174</v>
      </c>
      <c r="B38">
        <v>0</v>
      </c>
    </row>
    <row r="39" spans="1:2" x14ac:dyDescent="0.3">
      <c r="A39" s="11" t="s">
        <v>166</v>
      </c>
      <c r="B39">
        <v>2.2000000000000002</v>
      </c>
    </row>
    <row r="40" spans="1:2" x14ac:dyDescent="0.3">
      <c r="A40" s="11" t="s">
        <v>206</v>
      </c>
      <c r="B40">
        <v>0</v>
      </c>
    </row>
    <row r="41" spans="1:2" x14ac:dyDescent="0.3">
      <c r="A41" s="11" t="s">
        <v>210</v>
      </c>
      <c r="B41">
        <v>0</v>
      </c>
    </row>
    <row r="42" spans="1:2" x14ac:dyDescent="0.3">
      <c r="A42" s="11" t="s">
        <v>156</v>
      </c>
      <c r="B42">
        <v>2.6</v>
      </c>
    </row>
    <row r="43" spans="1:2" x14ac:dyDescent="0.3">
      <c r="A43" s="11" t="s">
        <v>126</v>
      </c>
      <c r="B43">
        <v>0</v>
      </c>
    </row>
    <row r="44" spans="1:2" x14ac:dyDescent="0.3">
      <c r="A44" s="11" t="s">
        <v>42</v>
      </c>
      <c r="B44">
        <v>5</v>
      </c>
    </row>
    <row r="45" spans="1:2" x14ac:dyDescent="0.3">
      <c r="A45" s="11" t="s">
        <v>149</v>
      </c>
      <c r="B45">
        <v>2.2000000000000002</v>
      </c>
    </row>
    <row r="46" spans="1:2" x14ac:dyDescent="0.3">
      <c r="A46" s="11" t="s">
        <v>204</v>
      </c>
      <c r="B46">
        <v>0</v>
      </c>
    </row>
    <row r="47" spans="1:2" x14ac:dyDescent="0.3">
      <c r="A47" s="11" t="s">
        <v>97</v>
      </c>
      <c r="B47">
        <v>0</v>
      </c>
    </row>
    <row r="48" spans="1:2" x14ac:dyDescent="0.3">
      <c r="A48" s="11" t="s">
        <v>177</v>
      </c>
      <c r="B48">
        <v>5</v>
      </c>
    </row>
    <row r="49" spans="1:2" x14ac:dyDescent="0.3">
      <c r="A49" s="11" t="s">
        <v>226</v>
      </c>
      <c r="B49">
        <v>0</v>
      </c>
    </row>
    <row r="50" spans="1:2" x14ac:dyDescent="0.3">
      <c r="A50" s="11" t="s">
        <v>112</v>
      </c>
      <c r="B50">
        <v>0</v>
      </c>
    </row>
    <row r="51" spans="1:2" x14ac:dyDescent="0.3">
      <c r="A51" s="11" t="s">
        <v>105</v>
      </c>
      <c r="B51">
        <v>0</v>
      </c>
    </row>
    <row r="52" spans="1:2" x14ac:dyDescent="0.3">
      <c r="A52" s="11" t="s">
        <v>184</v>
      </c>
      <c r="B52">
        <v>0</v>
      </c>
    </row>
    <row r="53" spans="1:2" x14ac:dyDescent="0.3">
      <c r="A53" s="11" t="s">
        <v>218</v>
      </c>
      <c r="B53">
        <v>0</v>
      </c>
    </row>
    <row r="54" spans="1:2" x14ac:dyDescent="0.3">
      <c r="A54" s="11" t="s">
        <v>101</v>
      </c>
      <c r="B54">
        <v>0</v>
      </c>
    </row>
    <row r="55" spans="1:2" x14ac:dyDescent="0.3">
      <c r="A55" s="11" t="s">
        <v>125</v>
      </c>
      <c r="B55">
        <v>0</v>
      </c>
    </row>
    <row r="56" spans="1:2" x14ac:dyDescent="0.3">
      <c r="A56" s="11" t="s">
        <v>87</v>
      </c>
      <c r="B56">
        <v>5</v>
      </c>
    </row>
    <row r="57" spans="1:2" x14ac:dyDescent="0.3">
      <c r="A57" s="11" t="s">
        <v>110</v>
      </c>
      <c r="B57">
        <v>0</v>
      </c>
    </row>
    <row r="58" spans="1:2" x14ac:dyDescent="0.3">
      <c r="A58" s="11" t="s">
        <v>172</v>
      </c>
      <c r="B58">
        <v>0</v>
      </c>
    </row>
    <row r="59" spans="1:2" x14ac:dyDescent="0.3">
      <c r="A59" s="11" t="s">
        <v>121</v>
      </c>
      <c r="B59">
        <v>0</v>
      </c>
    </row>
    <row r="60" spans="1:2" x14ac:dyDescent="0.3">
      <c r="A60" s="11" t="s">
        <v>27</v>
      </c>
      <c r="B60">
        <v>4</v>
      </c>
    </row>
    <row r="61" spans="1:2" x14ac:dyDescent="0.3">
      <c r="A61" s="11" t="s">
        <v>85</v>
      </c>
      <c r="B61">
        <v>5</v>
      </c>
    </row>
    <row r="62" spans="1:2" x14ac:dyDescent="0.3">
      <c r="A62" s="11" t="s">
        <v>167</v>
      </c>
      <c r="B62">
        <v>2.1</v>
      </c>
    </row>
    <row r="63" spans="1:2" x14ac:dyDescent="0.3">
      <c r="A63" s="11" t="s">
        <v>66</v>
      </c>
      <c r="B63">
        <v>4.5999999999999996</v>
      </c>
    </row>
    <row r="64" spans="1:2" x14ac:dyDescent="0.3">
      <c r="A64" s="11" t="s">
        <v>75</v>
      </c>
      <c r="B64">
        <v>4.3</v>
      </c>
    </row>
    <row r="65" spans="1:2" x14ac:dyDescent="0.3">
      <c r="A65" s="11" t="s">
        <v>60</v>
      </c>
      <c r="B65">
        <v>4.4000000000000004</v>
      </c>
    </row>
    <row r="66" spans="1:2" x14ac:dyDescent="0.3">
      <c r="A66" s="11" t="s">
        <v>33</v>
      </c>
      <c r="B66">
        <v>4.0999999999999996</v>
      </c>
    </row>
    <row r="67" spans="1:2" x14ac:dyDescent="0.3">
      <c r="A67" s="11" t="s">
        <v>182</v>
      </c>
      <c r="B67">
        <v>4</v>
      </c>
    </row>
    <row r="68" spans="1:2" x14ac:dyDescent="0.3">
      <c r="A68" s="11" t="s">
        <v>143</v>
      </c>
      <c r="B68">
        <v>2.7</v>
      </c>
    </row>
    <row r="69" spans="1:2" x14ac:dyDescent="0.3">
      <c r="A69" s="11" t="s">
        <v>208</v>
      </c>
      <c r="B69">
        <v>5</v>
      </c>
    </row>
    <row r="70" spans="1:2" x14ac:dyDescent="0.3">
      <c r="A70" s="11" t="s">
        <v>159</v>
      </c>
      <c r="B70">
        <v>3</v>
      </c>
    </row>
    <row r="71" spans="1:2" x14ac:dyDescent="0.3">
      <c r="A71" s="11" t="s">
        <v>63</v>
      </c>
      <c r="B71">
        <v>4.3</v>
      </c>
    </row>
    <row r="72" spans="1:2" x14ac:dyDescent="0.3">
      <c r="A72" s="11" t="s">
        <v>47</v>
      </c>
      <c r="B72">
        <v>5</v>
      </c>
    </row>
    <row r="73" spans="1:2" x14ac:dyDescent="0.3">
      <c r="A73" s="11" t="s">
        <v>38</v>
      </c>
      <c r="B73">
        <v>4.5</v>
      </c>
    </row>
    <row r="74" spans="1:2" x14ac:dyDescent="0.3">
      <c r="A74" s="11" t="s">
        <v>28</v>
      </c>
      <c r="B74">
        <v>4.8</v>
      </c>
    </row>
    <row r="75" spans="1:2" x14ac:dyDescent="0.3">
      <c r="A75" s="11" t="s">
        <v>91</v>
      </c>
      <c r="B75">
        <v>0</v>
      </c>
    </row>
    <row r="76" spans="1:2" x14ac:dyDescent="0.3">
      <c r="A76" s="11" t="s">
        <v>79</v>
      </c>
      <c r="B76">
        <v>4.3</v>
      </c>
    </row>
    <row r="77" spans="1:2" x14ac:dyDescent="0.3">
      <c r="A77" s="11" t="s">
        <v>58</v>
      </c>
      <c r="B77">
        <v>4</v>
      </c>
    </row>
    <row r="78" spans="1:2" x14ac:dyDescent="0.3">
      <c r="A78" s="11" t="s">
        <v>216</v>
      </c>
      <c r="B78">
        <v>0</v>
      </c>
    </row>
    <row r="79" spans="1:2" x14ac:dyDescent="0.3">
      <c r="A79" s="11" t="s">
        <v>49</v>
      </c>
      <c r="B79">
        <v>4.5999999999999996</v>
      </c>
    </row>
    <row r="80" spans="1:2" x14ac:dyDescent="0.3">
      <c r="A80" s="11" t="s">
        <v>176</v>
      </c>
      <c r="B80">
        <v>3</v>
      </c>
    </row>
    <row r="81" spans="1:2" x14ac:dyDescent="0.3">
      <c r="A81" s="11" t="s">
        <v>8</v>
      </c>
      <c r="B81">
        <v>4.0999999999999996</v>
      </c>
    </row>
    <row r="82" spans="1:2" x14ac:dyDescent="0.3">
      <c r="A82" s="11" t="s">
        <v>203</v>
      </c>
      <c r="B82">
        <v>0</v>
      </c>
    </row>
    <row r="83" spans="1:2" x14ac:dyDescent="0.3">
      <c r="A83" s="11" t="s">
        <v>95</v>
      </c>
      <c r="B83">
        <v>0</v>
      </c>
    </row>
    <row r="84" spans="1:2" x14ac:dyDescent="0.3">
      <c r="A84" s="11" t="s">
        <v>40</v>
      </c>
      <c r="B84">
        <v>4.2</v>
      </c>
    </row>
    <row r="85" spans="1:2" x14ac:dyDescent="0.3">
      <c r="A85" s="11" t="s">
        <v>189</v>
      </c>
      <c r="B85">
        <v>0</v>
      </c>
    </row>
    <row r="86" spans="1:2" x14ac:dyDescent="0.3">
      <c r="A86" s="11" t="s">
        <v>73</v>
      </c>
      <c r="B86">
        <v>0</v>
      </c>
    </row>
    <row r="87" spans="1:2" x14ac:dyDescent="0.3">
      <c r="A87" s="11" t="s">
        <v>119</v>
      </c>
      <c r="B87">
        <v>0</v>
      </c>
    </row>
    <row r="88" spans="1:2" x14ac:dyDescent="0.3">
      <c r="A88" s="11" t="s">
        <v>134</v>
      </c>
      <c r="B88">
        <v>3</v>
      </c>
    </row>
    <row r="89" spans="1:2" x14ac:dyDescent="0.3">
      <c r="A89" s="11" t="s">
        <v>183</v>
      </c>
      <c r="B89">
        <v>0</v>
      </c>
    </row>
    <row r="90" spans="1:2" x14ac:dyDescent="0.3">
      <c r="A90" s="11" t="s">
        <v>186</v>
      </c>
      <c r="B90">
        <v>0</v>
      </c>
    </row>
    <row r="91" spans="1:2" x14ac:dyDescent="0.3">
      <c r="A91" s="11" t="s">
        <v>45</v>
      </c>
      <c r="B91">
        <v>5</v>
      </c>
    </row>
    <row r="92" spans="1:2" x14ac:dyDescent="0.3">
      <c r="A92" s="11" t="s">
        <v>114</v>
      </c>
      <c r="B92">
        <v>0</v>
      </c>
    </row>
    <row r="93" spans="1:2" x14ac:dyDescent="0.3">
      <c r="A93" s="11" t="s">
        <v>117</v>
      </c>
      <c r="B93">
        <v>0</v>
      </c>
    </row>
    <row r="94" spans="1:2" x14ac:dyDescent="0.3">
      <c r="A94" s="11" t="s">
        <v>19</v>
      </c>
      <c r="B94">
        <v>4.8</v>
      </c>
    </row>
    <row r="95" spans="1:2" x14ac:dyDescent="0.3">
      <c r="A95" s="11" t="s">
        <v>11</v>
      </c>
      <c r="B95">
        <v>4.5999999999999996</v>
      </c>
    </row>
    <row r="96" spans="1:2" x14ac:dyDescent="0.3">
      <c r="A96" s="11" t="s">
        <v>200</v>
      </c>
      <c r="B96">
        <v>0</v>
      </c>
    </row>
    <row r="97" spans="1:2" x14ac:dyDescent="0.3">
      <c r="A97" s="11" t="s">
        <v>68</v>
      </c>
      <c r="B97">
        <v>3.8</v>
      </c>
    </row>
    <row r="98" spans="1:2" x14ac:dyDescent="0.3">
      <c r="A98" s="11" t="s">
        <v>193</v>
      </c>
      <c r="B98">
        <v>0</v>
      </c>
    </row>
    <row r="99" spans="1:2" x14ac:dyDescent="0.3">
      <c r="A99" s="11" t="s">
        <v>88</v>
      </c>
      <c r="B99">
        <v>4.3</v>
      </c>
    </row>
    <row r="100" spans="1:2" x14ac:dyDescent="0.3">
      <c r="A100" s="11" t="s">
        <v>194</v>
      </c>
      <c r="B100">
        <v>0</v>
      </c>
    </row>
    <row r="101" spans="1:2" x14ac:dyDescent="0.3">
      <c r="A101" s="11" t="s">
        <v>99</v>
      </c>
      <c r="B101">
        <v>0</v>
      </c>
    </row>
    <row r="102" spans="1:2" x14ac:dyDescent="0.3">
      <c r="A102" s="11" t="s">
        <v>220</v>
      </c>
      <c r="B102">
        <v>0</v>
      </c>
    </row>
    <row r="103" spans="1:2" x14ac:dyDescent="0.3">
      <c r="A103" s="11" t="s">
        <v>123</v>
      </c>
      <c r="B103">
        <v>0</v>
      </c>
    </row>
    <row r="104" spans="1:2" x14ac:dyDescent="0.3">
      <c r="A104" s="11" t="s">
        <v>221</v>
      </c>
      <c r="B104">
        <v>0</v>
      </c>
    </row>
    <row r="105" spans="1:2" x14ac:dyDescent="0.3">
      <c r="A105" s="11" t="s">
        <v>146</v>
      </c>
      <c r="B105">
        <v>2.9</v>
      </c>
    </row>
    <row r="106" spans="1:2" x14ac:dyDescent="0.3">
      <c r="A106" s="11" t="s">
        <v>191</v>
      </c>
      <c r="B106">
        <v>0</v>
      </c>
    </row>
    <row r="107" spans="1:2" x14ac:dyDescent="0.3">
      <c r="A107" s="11" t="s">
        <v>199</v>
      </c>
      <c r="B107">
        <v>0</v>
      </c>
    </row>
    <row r="108" spans="1:2" x14ac:dyDescent="0.3">
      <c r="A108" s="11" t="s">
        <v>224</v>
      </c>
      <c r="B108">
        <v>2</v>
      </c>
    </row>
    <row r="109" spans="1:2" x14ac:dyDescent="0.3">
      <c r="A109" s="11" t="s">
        <v>188</v>
      </c>
      <c r="B109">
        <v>0</v>
      </c>
    </row>
    <row r="110" spans="1:2" x14ac:dyDescent="0.3">
      <c r="A110" s="11" t="s">
        <v>161</v>
      </c>
      <c r="B110">
        <v>2.2999999999999998</v>
      </c>
    </row>
    <row r="111" spans="1:2" x14ac:dyDescent="0.3">
      <c r="A111" s="11" t="s">
        <v>15</v>
      </c>
      <c r="B111">
        <v>4.7</v>
      </c>
    </row>
    <row r="112" spans="1:2" x14ac:dyDescent="0.3">
      <c r="A112" s="11" t="s">
        <v>164</v>
      </c>
      <c r="B112">
        <v>3</v>
      </c>
    </row>
    <row r="113" spans="1:2" x14ac:dyDescent="0.3">
      <c r="A113" s="11" t="s">
        <v>241</v>
      </c>
      <c r="B113">
        <v>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3E5A-DEE9-4219-911A-9C77492E716B}">
  <dimension ref="A3:B14"/>
  <sheetViews>
    <sheetView workbookViewId="0">
      <selection activeCell="E17" sqref="E17"/>
    </sheetView>
  </sheetViews>
  <sheetFormatPr defaultRowHeight="13" x14ac:dyDescent="0.3"/>
  <cols>
    <col min="1" max="1" width="60.453125" bestFit="1" customWidth="1"/>
    <col min="2" max="2" width="22.90625" bestFit="1" customWidth="1"/>
  </cols>
  <sheetData>
    <row r="3" spans="1:2" x14ac:dyDescent="0.3">
      <c r="A3" s="10" t="s">
        <v>239</v>
      </c>
      <c r="B3" t="s">
        <v>256</v>
      </c>
    </row>
    <row r="4" spans="1:2" x14ac:dyDescent="0.3">
      <c r="A4" s="11" t="s">
        <v>34</v>
      </c>
      <c r="B4">
        <v>39</v>
      </c>
    </row>
    <row r="5" spans="1:2" x14ac:dyDescent="0.3">
      <c r="A5" s="11" t="s">
        <v>140</v>
      </c>
      <c r="B5">
        <v>69</v>
      </c>
    </row>
    <row r="6" spans="1:2" x14ac:dyDescent="0.3">
      <c r="A6" s="11" t="s">
        <v>25</v>
      </c>
      <c r="B6">
        <v>55</v>
      </c>
    </row>
    <row r="7" spans="1:2" x14ac:dyDescent="0.3">
      <c r="A7" s="11" t="s">
        <v>51</v>
      </c>
      <c r="B7">
        <v>44</v>
      </c>
    </row>
    <row r="8" spans="1:2" x14ac:dyDescent="0.3">
      <c r="A8" s="11" t="s">
        <v>72</v>
      </c>
      <c r="B8">
        <v>20</v>
      </c>
    </row>
    <row r="9" spans="1:2" x14ac:dyDescent="0.3">
      <c r="A9" s="11" t="s">
        <v>83</v>
      </c>
      <c r="B9">
        <v>32</v>
      </c>
    </row>
    <row r="10" spans="1:2" x14ac:dyDescent="0.3">
      <c r="A10" s="11" t="s">
        <v>81</v>
      </c>
      <c r="B10">
        <v>20</v>
      </c>
    </row>
    <row r="11" spans="1:2" x14ac:dyDescent="0.3">
      <c r="A11" s="11" t="s">
        <v>66</v>
      </c>
      <c r="B11">
        <v>49</v>
      </c>
    </row>
    <row r="12" spans="1:2" x14ac:dyDescent="0.3">
      <c r="A12" s="11" t="s">
        <v>11</v>
      </c>
      <c r="B12">
        <v>24</v>
      </c>
    </row>
    <row r="13" spans="1:2" x14ac:dyDescent="0.3">
      <c r="A13" s="11" t="s">
        <v>88</v>
      </c>
      <c r="B13">
        <v>36</v>
      </c>
    </row>
    <row r="14" spans="1:2" x14ac:dyDescent="0.3">
      <c r="A14" s="11" t="s">
        <v>241</v>
      </c>
      <c r="B14">
        <v>388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9C24-D15D-459F-993D-EDF3D8C94A98}">
  <dimension ref="A3:B27"/>
  <sheetViews>
    <sheetView workbookViewId="0">
      <selection activeCell="I22" sqref="I22"/>
    </sheetView>
  </sheetViews>
  <sheetFormatPr defaultRowHeight="13" x14ac:dyDescent="0.3"/>
  <cols>
    <col min="1" max="1" width="12.453125" bestFit="1" customWidth="1"/>
    <col min="2" max="2" width="24.08984375" bestFit="1" customWidth="1"/>
  </cols>
  <sheetData>
    <row r="3" spans="1:2" x14ac:dyDescent="0.3">
      <c r="A3" s="10" t="s">
        <v>239</v>
      </c>
      <c r="B3" t="s">
        <v>257</v>
      </c>
    </row>
    <row r="4" spans="1:2" x14ac:dyDescent="0.3">
      <c r="A4" s="11">
        <v>2</v>
      </c>
      <c r="B4">
        <v>1</v>
      </c>
    </row>
    <row r="5" spans="1:2" x14ac:dyDescent="0.3">
      <c r="A5" s="11">
        <v>2.1</v>
      </c>
      <c r="B5">
        <v>2</v>
      </c>
    </row>
    <row r="6" spans="1:2" x14ac:dyDescent="0.3">
      <c r="A6" s="11">
        <v>2.2000000000000002</v>
      </c>
      <c r="B6">
        <v>2</v>
      </c>
    </row>
    <row r="7" spans="1:2" x14ac:dyDescent="0.3">
      <c r="A7" s="11">
        <v>2.2999999999999998</v>
      </c>
      <c r="B7">
        <v>2</v>
      </c>
    </row>
    <row r="8" spans="1:2" x14ac:dyDescent="0.3">
      <c r="A8" s="11">
        <v>2.5</v>
      </c>
      <c r="B8">
        <v>1</v>
      </c>
    </row>
    <row r="9" spans="1:2" x14ac:dyDescent="0.3">
      <c r="A9" s="11">
        <v>2.6</v>
      </c>
      <c r="B9">
        <v>1</v>
      </c>
    </row>
    <row r="10" spans="1:2" x14ac:dyDescent="0.3">
      <c r="A10" s="11">
        <v>2.7</v>
      </c>
      <c r="B10">
        <v>1</v>
      </c>
    </row>
    <row r="11" spans="1:2" x14ac:dyDescent="0.3">
      <c r="A11" s="11">
        <v>2.8</v>
      </c>
      <c r="B11">
        <v>1</v>
      </c>
    </row>
    <row r="12" spans="1:2" x14ac:dyDescent="0.3">
      <c r="A12" s="11">
        <v>2.9</v>
      </c>
      <c r="B12">
        <v>1</v>
      </c>
    </row>
    <row r="13" spans="1:2" x14ac:dyDescent="0.3">
      <c r="A13" s="11">
        <v>3</v>
      </c>
      <c r="B13">
        <v>5</v>
      </c>
    </row>
    <row r="14" spans="1:2" x14ac:dyDescent="0.3">
      <c r="A14" s="11">
        <v>3.3</v>
      </c>
      <c r="B14">
        <v>1</v>
      </c>
    </row>
    <row r="15" spans="1:2" x14ac:dyDescent="0.3">
      <c r="A15" s="11">
        <v>3.8</v>
      </c>
      <c r="B15">
        <v>3</v>
      </c>
    </row>
    <row r="16" spans="1:2" x14ac:dyDescent="0.3">
      <c r="A16" s="11">
        <v>4</v>
      </c>
      <c r="B16">
        <v>4</v>
      </c>
    </row>
    <row r="17" spans="1:2" x14ac:dyDescent="0.3">
      <c r="A17" s="11">
        <v>4.0999999999999996</v>
      </c>
      <c r="B17">
        <v>3</v>
      </c>
    </row>
    <row r="18" spans="1:2" x14ac:dyDescent="0.3">
      <c r="A18" s="11">
        <v>4.2</v>
      </c>
      <c r="B18">
        <v>1</v>
      </c>
    </row>
    <row r="19" spans="1:2" x14ac:dyDescent="0.3">
      <c r="A19" s="11">
        <v>4.3</v>
      </c>
      <c r="B19">
        <v>4</v>
      </c>
    </row>
    <row r="20" spans="1:2" x14ac:dyDescent="0.3">
      <c r="A20" s="11">
        <v>4.4000000000000004</v>
      </c>
      <c r="B20">
        <v>1</v>
      </c>
    </row>
    <row r="21" spans="1:2" x14ac:dyDescent="0.3">
      <c r="A21" s="11">
        <v>4.5</v>
      </c>
      <c r="B21">
        <v>4</v>
      </c>
    </row>
    <row r="22" spans="1:2" x14ac:dyDescent="0.3">
      <c r="A22" s="11">
        <v>4.5999999999999996</v>
      </c>
      <c r="B22">
        <v>5</v>
      </c>
    </row>
    <row r="23" spans="1:2" x14ac:dyDescent="0.3">
      <c r="A23" s="11">
        <v>4.7</v>
      </c>
      <c r="B23">
        <v>4</v>
      </c>
    </row>
    <row r="24" spans="1:2" x14ac:dyDescent="0.3">
      <c r="A24" s="11">
        <v>4.8</v>
      </c>
      <c r="B24">
        <v>3</v>
      </c>
    </row>
    <row r="25" spans="1:2" x14ac:dyDescent="0.3">
      <c r="A25" s="11">
        <v>5</v>
      </c>
      <c r="B25">
        <v>7</v>
      </c>
    </row>
    <row r="26" spans="1:2" x14ac:dyDescent="0.3">
      <c r="A26" s="11"/>
      <c r="B26">
        <v>52</v>
      </c>
    </row>
    <row r="27" spans="1:2" x14ac:dyDescent="0.3">
      <c r="A27" s="11" t="s">
        <v>241</v>
      </c>
      <c r="B27">
        <v>109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477A-7A5C-407A-BA65-AFDCEBE411E1}">
  <dimension ref="A1"/>
  <sheetViews>
    <sheetView workbookViewId="0">
      <selection activeCell="K16" sqref="K16"/>
    </sheetView>
  </sheetViews>
  <sheetFormatPr defaultRowHeight="13"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8017-27E9-4FF1-8603-7FF59FA506B5}">
  <dimension ref="A3:B7"/>
  <sheetViews>
    <sheetView workbookViewId="0">
      <selection activeCell="O15" sqref="O15"/>
    </sheetView>
  </sheetViews>
  <sheetFormatPr defaultRowHeight="13" x14ac:dyDescent="0.3"/>
  <cols>
    <col min="1" max="1" width="12.453125" bestFit="1" customWidth="1"/>
    <col min="2" max="2" width="14.6328125" bestFit="1" customWidth="1"/>
  </cols>
  <sheetData>
    <row r="3" spans="1:2" x14ac:dyDescent="0.3">
      <c r="A3" s="10" t="s">
        <v>239</v>
      </c>
      <c r="B3" t="s">
        <v>253</v>
      </c>
    </row>
    <row r="4" spans="1:2" x14ac:dyDescent="0.3">
      <c r="A4" s="11" t="s">
        <v>238</v>
      </c>
      <c r="B4">
        <v>22</v>
      </c>
    </row>
    <row r="5" spans="1:2" x14ac:dyDescent="0.3">
      <c r="A5" s="11" t="s">
        <v>251</v>
      </c>
      <c r="B5">
        <v>75</v>
      </c>
    </row>
    <row r="6" spans="1:2" x14ac:dyDescent="0.3">
      <c r="A6" s="11" t="s">
        <v>252</v>
      </c>
      <c r="B6">
        <v>12</v>
      </c>
    </row>
    <row r="7" spans="1:2" x14ac:dyDescent="0.3">
      <c r="A7" s="11" t="s">
        <v>241</v>
      </c>
      <c r="B7">
        <v>109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A96B6-65EA-4ECF-A5D1-D03858D8254D}">
  <dimension ref="A3:B5"/>
  <sheetViews>
    <sheetView workbookViewId="0">
      <selection activeCell="K18" sqref="K18"/>
    </sheetView>
  </sheetViews>
  <sheetFormatPr defaultRowHeight="13" x14ac:dyDescent="0.3"/>
  <cols>
    <col min="1" max="1" width="15.08984375" bestFit="1" customWidth="1"/>
    <col min="2" max="2" width="14.6328125" bestFit="1" customWidth="1"/>
  </cols>
  <sheetData>
    <row r="3" spans="1:2" x14ac:dyDescent="0.3">
      <c r="A3" s="10" t="s">
        <v>239</v>
      </c>
      <c r="B3" t="s">
        <v>253</v>
      </c>
    </row>
    <row r="4" spans="1:2" x14ac:dyDescent="0.3">
      <c r="A4" s="11" t="s">
        <v>244</v>
      </c>
      <c r="B4">
        <v>109</v>
      </c>
    </row>
    <row r="5" spans="1:2" x14ac:dyDescent="0.3">
      <c r="A5" s="11" t="s">
        <v>241</v>
      </c>
      <c r="B5">
        <v>109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FD2AC-DC70-43D4-A490-2F0AC77AE000}">
  <dimension ref="A1:M113"/>
  <sheetViews>
    <sheetView topLeftCell="A54" workbookViewId="0">
      <selection activeCell="E111" sqref="E111"/>
    </sheetView>
  </sheetViews>
  <sheetFormatPr defaultRowHeight="13" x14ac:dyDescent="0.3"/>
  <cols>
    <col min="1" max="1" width="88.26953125" bestFit="1" customWidth="1"/>
    <col min="2" max="2" width="15.81640625" bestFit="1" customWidth="1"/>
    <col min="3" max="3" width="12.08984375" bestFit="1" customWidth="1"/>
    <col min="4" max="4" width="7.90625" bestFit="1" customWidth="1"/>
    <col min="5" max="5" width="6.7265625" bestFit="1" customWidth="1"/>
    <col min="6" max="6" width="9.90625" bestFit="1" customWidth="1"/>
    <col min="7" max="7" width="11.54296875" bestFit="1" customWidth="1"/>
    <col min="8" max="8" width="10.08984375" bestFit="1" customWidth="1"/>
    <col min="9" max="9" width="10.7265625" bestFit="1" customWidth="1"/>
    <col min="10" max="10" width="16.54296875" bestFit="1" customWidth="1"/>
    <col min="11" max="11" width="14.81640625" bestFit="1" customWidth="1"/>
    <col min="12" max="12" width="14" bestFit="1" customWidth="1"/>
    <col min="13" max="13" width="15.81640625" bestFit="1" customWidth="1"/>
  </cols>
  <sheetData>
    <row r="1" spans="1:13" x14ac:dyDescent="0.3">
      <c r="A1" s="2" t="s">
        <v>0</v>
      </c>
      <c r="B1" s="6" t="s">
        <v>233</v>
      </c>
      <c r="C1" s="6" t="s">
        <v>232</v>
      </c>
      <c r="D1" s="9" t="s">
        <v>3</v>
      </c>
      <c r="E1" s="2" t="s">
        <v>4</v>
      </c>
      <c r="F1" s="2" t="s">
        <v>228</v>
      </c>
      <c r="G1" s="7" t="s">
        <v>229</v>
      </c>
      <c r="H1" s="2" t="s">
        <v>230</v>
      </c>
      <c r="I1" s="2" t="s">
        <v>231</v>
      </c>
      <c r="J1" s="2" t="s">
        <v>234</v>
      </c>
      <c r="K1" s="2" t="s">
        <v>235</v>
      </c>
      <c r="L1" s="2" t="s">
        <v>236</v>
      </c>
      <c r="M1" s="2" t="s">
        <v>237</v>
      </c>
    </row>
    <row r="2" spans="1:13" x14ac:dyDescent="0.3">
      <c r="A2" t="s">
        <v>5</v>
      </c>
      <c r="B2" s="4">
        <v>950</v>
      </c>
      <c r="C2" s="4">
        <v>1525</v>
      </c>
      <c r="D2" s="1">
        <v>0.38</v>
      </c>
      <c r="E2">
        <v>-2</v>
      </c>
      <c r="F2" t="s">
        <v>7</v>
      </c>
      <c r="G2" s="8">
        <f>IF(ISNUMBER(F2), F2, IF(ISBLANK(F2), "", VALUE(LEFT(F2, FIND(" ", F2 &amp; " ")-1))))</f>
        <v>4.5</v>
      </c>
      <c r="H2">
        <f>IF(ISBLANK(F2),0,1)</f>
        <v>1</v>
      </c>
      <c r="I2">
        <f>IF(ISBLANK(E2),0,1)</f>
        <v>1</v>
      </c>
      <c r="J2">
        <f>IFERROR(ABS(E2),"No Review")</f>
        <v>2</v>
      </c>
      <c r="K2" s="4">
        <f>C2-B2</f>
        <v>575</v>
      </c>
      <c r="L2" t="str">
        <f>IF(G2&lt;3,"Poor",IF(G2&lt;=4.4,"Average","Excellent"))</f>
        <v>Excellent</v>
      </c>
      <c r="M2" t="str">
        <f>IF(ISBLANK(D2),"",IF(D2&lt;0.2,"Low Discount",IF(D2&lt;=0.4,"Medium Discount","High Discount")))</f>
        <v>Medium Discount</v>
      </c>
    </row>
    <row r="3" spans="1:13" x14ac:dyDescent="0.3">
      <c r="A3" t="s">
        <v>8</v>
      </c>
      <c r="B3" s="4">
        <v>527</v>
      </c>
      <c r="C3" s="4">
        <v>999</v>
      </c>
      <c r="D3" s="1">
        <v>0.47</v>
      </c>
      <c r="E3">
        <v>-14</v>
      </c>
      <c r="F3" t="s">
        <v>10</v>
      </c>
      <c r="G3" s="8">
        <f t="shared" ref="G3:G66" si="0">IF(ISNUMBER(F3), F3, IF(ISBLANK(F3), "", VALUE(LEFT(F3, FIND(" ", F3 &amp; " ")-1))))</f>
        <v>4.0999999999999996</v>
      </c>
      <c r="H3">
        <f t="shared" ref="H3:H66" si="1">IF(ISBLANK(F3),0,1)</f>
        <v>1</v>
      </c>
      <c r="I3">
        <f t="shared" ref="I3:I66" si="2">IF(ISBLANK(E3),0,1)</f>
        <v>1</v>
      </c>
      <c r="J3">
        <f t="shared" ref="J3:J66" si="3">IFERROR(ABS(E3),"No Review")</f>
        <v>14</v>
      </c>
      <c r="K3" s="4">
        <f>C3-B3</f>
        <v>472</v>
      </c>
      <c r="L3" t="str">
        <f t="shared" ref="L3:L66" si="4">IF(G3&lt;3,"Poor",IF(G3&lt;=4.4,"Average","Excellent"))</f>
        <v>Average</v>
      </c>
      <c r="M3" t="str">
        <f t="shared" ref="M3:M66" si="5">IF(ISBLANK(D3),"",IF(D3&lt;0.2,"Low Discount",IF(D3&lt;=0.4,"Medium Discount","High Discount")))</f>
        <v>High Discount</v>
      </c>
    </row>
    <row r="4" spans="1:13" x14ac:dyDescent="0.3">
      <c r="A4" t="s">
        <v>11</v>
      </c>
      <c r="B4" s="4">
        <v>2199</v>
      </c>
      <c r="C4" s="4">
        <v>2923</v>
      </c>
      <c r="D4" s="1">
        <v>0.25</v>
      </c>
      <c r="E4">
        <v>-24</v>
      </c>
      <c r="F4" t="s">
        <v>14</v>
      </c>
      <c r="G4" s="8">
        <f t="shared" si="0"/>
        <v>4.5999999999999996</v>
      </c>
      <c r="H4">
        <f t="shared" si="1"/>
        <v>1</v>
      </c>
      <c r="I4">
        <f t="shared" si="2"/>
        <v>1</v>
      </c>
      <c r="J4">
        <f t="shared" si="3"/>
        <v>24</v>
      </c>
      <c r="K4" s="4">
        <f>C4-B4</f>
        <v>724</v>
      </c>
      <c r="L4" t="str">
        <f t="shared" si="4"/>
        <v>Excellent</v>
      </c>
      <c r="M4" t="str">
        <f t="shared" si="5"/>
        <v>Medium Discount</v>
      </c>
    </row>
    <row r="5" spans="1:13" x14ac:dyDescent="0.3">
      <c r="A5" t="s">
        <v>15</v>
      </c>
      <c r="B5" s="4">
        <v>1580</v>
      </c>
      <c r="C5" s="4">
        <v>2499</v>
      </c>
      <c r="D5" s="1">
        <v>0.37</v>
      </c>
      <c r="E5">
        <v>-7</v>
      </c>
      <c r="F5" t="s">
        <v>18</v>
      </c>
      <c r="G5" s="8">
        <f t="shared" si="0"/>
        <v>4.7</v>
      </c>
      <c r="H5">
        <f t="shared" si="1"/>
        <v>1</v>
      </c>
      <c r="I5">
        <f t="shared" si="2"/>
        <v>1</v>
      </c>
      <c r="J5">
        <f t="shared" si="3"/>
        <v>7</v>
      </c>
      <c r="K5" s="4">
        <f t="shared" ref="K5:K68" si="6">C5-B5</f>
        <v>919</v>
      </c>
      <c r="L5" t="str">
        <f t="shared" si="4"/>
        <v>Excellent</v>
      </c>
      <c r="M5" t="str">
        <f t="shared" si="5"/>
        <v>Medium Discount</v>
      </c>
    </row>
    <row r="6" spans="1:13" x14ac:dyDescent="0.3">
      <c r="A6" t="s">
        <v>19</v>
      </c>
      <c r="B6" s="4">
        <v>1740</v>
      </c>
      <c r="C6" s="4">
        <v>2356</v>
      </c>
      <c r="D6" s="1">
        <v>0.26</v>
      </c>
      <c r="E6">
        <v>-5</v>
      </c>
      <c r="F6" t="s">
        <v>21</v>
      </c>
      <c r="G6" s="8">
        <f t="shared" si="0"/>
        <v>4.8</v>
      </c>
      <c r="H6">
        <f t="shared" si="1"/>
        <v>1</v>
      </c>
      <c r="I6">
        <f t="shared" si="2"/>
        <v>1</v>
      </c>
      <c r="J6">
        <f t="shared" si="3"/>
        <v>5</v>
      </c>
      <c r="K6" s="4">
        <f t="shared" si="6"/>
        <v>616</v>
      </c>
      <c r="L6" t="str">
        <f t="shared" si="4"/>
        <v>Excellent</v>
      </c>
      <c r="M6" t="str">
        <f t="shared" si="5"/>
        <v>Medium Discount</v>
      </c>
    </row>
    <row r="7" spans="1:13" x14ac:dyDescent="0.3">
      <c r="A7" t="s">
        <v>22</v>
      </c>
      <c r="B7" s="4">
        <v>2999</v>
      </c>
      <c r="C7" s="4">
        <v>3290</v>
      </c>
      <c r="D7" s="1">
        <v>0.09</v>
      </c>
      <c r="E7">
        <v>-15</v>
      </c>
      <c r="F7" t="s">
        <v>24</v>
      </c>
      <c r="G7" s="8">
        <f t="shared" si="0"/>
        <v>4</v>
      </c>
      <c r="H7">
        <f t="shared" si="1"/>
        <v>1</v>
      </c>
      <c r="I7">
        <f t="shared" si="2"/>
        <v>1</v>
      </c>
      <c r="J7">
        <f t="shared" si="3"/>
        <v>15</v>
      </c>
      <c r="K7" s="4">
        <f t="shared" si="6"/>
        <v>291</v>
      </c>
      <c r="L7" t="str">
        <f t="shared" si="4"/>
        <v>Average</v>
      </c>
      <c r="M7" t="str">
        <f t="shared" si="5"/>
        <v>Low Discount</v>
      </c>
    </row>
    <row r="8" spans="1:13" x14ac:dyDescent="0.3">
      <c r="A8" t="s">
        <v>25</v>
      </c>
      <c r="B8" s="4">
        <v>2319</v>
      </c>
      <c r="C8" s="4">
        <v>3032</v>
      </c>
      <c r="D8" s="1">
        <v>0.24</v>
      </c>
      <c r="E8">
        <v>-55</v>
      </c>
      <c r="F8" t="s">
        <v>14</v>
      </c>
      <c r="G8" s="8">
        <f t="shared" si="0"/>
        <v>4.5999999999999996</v>
      </c>
      <c r="H8">
        <f t="shared" si="1"/>
        <v>1</v>
      </c>
      <c r="I8">
        <f t="shared" si="2"/>
        <v>1</v>
      </c>
      <c r="J8">
        <f t="shared" si="3"/>
        <v>55</v>
      </c>
      <c r="K8" s="4">
        <f t="shared" si="6"/>
        <v>713</v>
      </c>
      <c r="L8" t="str">
        <f t="shared" si="4"/>
        <v>Excellent</v>
      </c>
      <c r="M8" t="str">
        <f t="shared" si="5"/>
        <v>Medium Discount</v>
      </c>
    </row>
    <row r="9" spans="1:13" x14ac:dyDescent="0.3">
      <c r="A9" t="s">
        <v>27</v>
      </c>
      <c r="B9" s="4">
        <v>988</v>
      </c>
      <c r="C9" s="4">
        <v>1580</v>
      </c>
      <c r="D9" s="1">
        <v>0.37</v>
      </c>
      <c r="E9">
        <v>-2</v>
      </c>
      <c r="F9" t="s">
        <v>24</v>
      </c>
      <c r="G9" s="8">
        <f t="shared" si="0"/>
        <v>4</v>
      </c>
      <c r="H9">
        <f t="shared" si="1"/>
        <v>1</v>
      </c>
      <c r="I9">
        <f t="shared" si="2"/>
        <v>1</v>
      </c>
      <c r="J9">
        <f t="shared" si="3"/>
        <v>2</v>
      </c>
      <c r="K9" s="4">
        <f t="shared" si="6"/>
        <v>592</v>
      </c>
      <c r="L9" t="str">
        <f t="shared" si="4"/>
        <v>Average</v>
      </c>
      <c r="M9" t="str">
        <f t="shared" si="5"/>
        <v>Medium Discount</v>
      </c>
    </row>
    <row r="10" spans="1:13" x14ac:dyDescent="0.3">
      <c r="A10" t="s">
        <v>28</v>
      </c>
      <c r="B10" s="4">
        <v>1274</v>
      </c>
      <c r="C10" s="4">
        <v>2800</v>
      </c>
      <c r="D10" s="1">
        <v>0.55000000000000004</v>
      </c>
      <c r="E10">
        <v>-5</v>
      </c>
      <c r="F10" t="s">
        <v>21</v>
      </c>
      <c r="G10" s="8">
        <f t="shared" si="0"/>
        <v>4.8</v>
      </c>
      <c r="H10">
        <f t="shared" si="1"/>
        <v>1</v>
      </c>
      <c r="I10">
        <f t="shared" si="2"/>
        <v>1</v>
      </c>
      <c r="J10">
        <f t="shared" si="3"/>
        <v>5</v>
      </c>
      <c r="K10" s="4">
        <f t="shared" si="6"/>
        <v>1526</v>
      </c>
      <c r="L10" t="str">
        <f t="shared" si="4"/>
        <v>Excellent</v>
      </c>
      <c r="M10" t="str">
        <f t="shared" si="5"/>
        <v>High Discount</v>
      </c>
    </row>
    <row r="11" spans="1:13" x14ac:dyDescent="0.3">
      <c r="A11" t="s">
        <v>30</v>
      </c>
      <c r="B11" s="4">
        <v>1600</v>
      </c>
      <c r="C11" s="4">
        <v>2929</v>
      </c>
      <c r="D11" s="1">
        <v>0.45</v>
      </c>
      <c r="E11">
        <v>-5</v>
      </c>
      <c r="F11" t="s">
        <v>32</v>
      </c>
      <c r="G11" s="8">
        <f t="shared" si="0"/>
        <v>3.8</v>
      </c>
      <c r="H11">
        <f t="shared" si="1"/>
        <v>1</v>
      </c>
      <c r="I11">
        <f t="shared" si="2"/>
        <v>1</v>
      </c>
      <c r="J11">
        <f t="shared" si="3"/>
        <v>5</v>
      </c>
      <c r="K11" s="4">
        <f t="shared" si="6"/>
        <v>1329</v>
      </c>
      <c r="L11" t="str">
        <f t="shared" si="4"/>
        <v>Average</v>
      </c>
      <c r="M11" t="str">
        <f t="shared" si="5"/>
        <v>High Discount</v>
      </c>
    </row>
    <row r="12" spans="1:13" x14ac:dyDescent="0.3">
      <c r="A12" t="s">
        <v>33</v>
      </c>
      <c r="B12" s="4">
        <v>799</v>
      </c>
      <c r="C12" s="4">
        <v>999</v>
      </c>
      <c r="D12" s="1">
        <v>0.2</v>
      </c>
      <c r="E12">
        <v>-12</v>
      </c>
      <c r="F12" t="s">
        <v>10</v>
      </c>
      <c r="G12" s="8">
        <f t="shared" si="0"/>
        <v>4.0999999999999996</v>
      </c>
      <c r="H12">
        <f t="shared" si="1"/>
        <v>1</v>
      </c>
      <c r="I12">
        <f t="shared" si="2"/>
        <v>1</v>
      </c>
      <c r="J12">
        <f t="shared" si="3"/>
        <v>12</v>
      </c>
      <c r="K12" s="4">
        <f t="shared" si="6"/>
        <v>200</v>
      </c>
      <c r="L12" t="str">
        <f t="shared" si="4"/>
        <v>Average</v>
      </c>
      <c r="M12" t="str">
        <f t="shared" si="5"/>
        <v>Medium Discount</v>
      </c>
    </row>
    <row r="13" spans="1:13" x14ac:dyDescent="0.3">
      <c r="A13" t="s">
        <v>34</v>
      </c>
      <c r="B13" s="4">
        <v>990</v>
      </c>
      <c r="C13" s="4">
        <v>1500</v>
      </c>
      <c r="D13" s="1">
        <v>0.34</v>
      </c>
      <c r="E13">
        <v>-39</v>
      </c>
      <c r="F13" t="s">
        <v>18</v>
      </c>
      <c r="G13" s="8">
        <f t="shared" si="0"/>
        <v>4.7</v>
      </c>
      <c r="H13">
        <f t="shared" si="1"/>
        <v>1</v>
      </c>
      <c r="I13">
        <f t="shared" si="2"/>
        <v>1</v>
      </c>
      <c r="J13">
        <f t="shared" si="3"/>
        <v>39</v>
      </c>
      <c r="K13" s="4">
        <f t="shared" si="6"/>
        <v>510</v>
      </c>
      <c r="L13" t="str">
        <f t="shared" si="4"/>
        <v>Excellent</v>
      </c>
      <c r="M13" t="str">
        <f t="shared" si="5"/>
        <v>Medium Discount</v>
      </c>
    </row>
    <row r="14" spans="1:13" x14ac:dyDescent="0.3">
      <c r="A14" t="s">
        <v>36</v>
      </c>
      <c r="B14" s="4">
        <v>552</v>
      </c>
      <c r="C14" s="4">
        <v>1035</v>
      </c>
      <c r="D14" s="1">
        <v>0.47</v>
      </c>
      <c r="E14">
        <v>-12</v>
      </c>
      <c r="F14" t="s">
        <v>21</v>
      </c>
      <c r="G14" s="8">
        <f t="shared" si="0"/>
        <v>4.8</v>
      </c>
      <c r="H14">
        <f t="shared" si="1"/>
        <v>1</v>
      </c>
      <c r="I14">
        <f t="shared" si="2"/>
        <v>1</v>
      </c>
      <c r="J14">
        <f t="shared" si="3"/>
        <v>12</v>
      </c>
      <c r="K14" s="4">
        <f t="shared" si="6"/>
        <v>483</v>
      </c>
      <c r="L14" t="str">
        <f t="shared" si="4"/>
        <v>Excellent</v>
      </c>
      <c r="M14" t="str">
        <f t="shared" si="5"/>
        <v>High Discount</v>
      </c>
    </row>
    <row r="15" spans="1:13" x14ac:dyDescent="0.3">
      <c r="A15" t="s">
        <v>38</v>
      </c>
      <c r="B15" s="4">
        <v>501</v>
      </c>
      <c r="C15" s="4">
        <v>860</v>
      </c>
      <c r="D15" s="1">
        <v>0.42</v>
      </c>
      <c r="E15">
        <v>-6</v>
      </c>
      <c r="F15" t="s">
        <v>7</v>
      </c>
      <c r="G15" s="8">
        <f t="shared" si="0"/>
        <v>4.5</v>
      </c>
      <c r="H15">
        <f t="shared" si="1"/>
        <v>1</v>
      </c>
      <c r="I15">
        <f t="shared" si="2"/>
        <v>1</v>
      </c>
      <c r="J15">
        <f t="shared" si="3"/>
        <v>6</v>
      </c>
      <c r="K15" s="4">
        <f t="shared" si="6"/>
        <v>359</v>
      </c>
      <c r="L15" t="str">
        <f t="shared" si="4"/>
        <v>Excellent</v>
      </c>
      <c r="M15" t="str">
        <f t="shared" si="5"/>
        <v>High Discount</v>
      </c>
    </row>
    <row r="16" spans="1:13" x14ac:dyDescent="0.3">
      <c r="A16" t="s">
        <v>40</v>
      </c>
      <c r="B16" s="4">
        <v>1680</v>
      </c>
      <c r="C16" s="4">
        <v>2499</v>
      </c>
      <c r="D16" s="1">
        <v>0.33</v>
      </c>
      <c r="E16">
        <v>-9</v>
      </c>
      <c r="F16" t="s">
        <v>41</v>
      </c>
      <c r="G16" s="8">
        <f t="shared" si="0"/>
        <v>4.2</v>
      </c>
      <c r="H16">
        <f t="shared" si="1"/>
        <v>1</v>
      </c>
      <c r="I16">
        <f t="shared" si="2"/>
        <v>1</v>
      </c>
      <c r="J16">
        <f t="shared" si="3"/>
        <v>9</v>
      </c>
      <c r="K16" s="4">
        <f t="shared" si="6"/>
        <v>819</v>
      </c>
      <c r="L16" t="str">
        <f t="shared" si="4"/>
        <v>Average</v>
      </c>
      <c r="M16" t="str">
        <f t="shared" si="5"/>
        <v>Medium Discount</v>
      </c>
    </row>
    <row r="17" spans="1:13" x14ac:dyDescent="0.3">
      <c r="A17" t="s">
        <v>42</v>
      </c>
      <c r="B17" s="4">
        <v>332</v>
      </c>
      <c r="C17" s="4">
        <v>684</v>
      </c>
      <c r="D17" s="1">
        <v>0.51</v>
      </c>
      <c r="E17">
        <v>-2</v>
      </c>
      <c r="F17" t="s">
        <v>44</v>
      </c>
      <c r="G17" s="8">
        <f t="shared" si="0"/>
        <v>5</v>
      </c>
      <c r="H17">
        <f t="shared" si="1"/>
        <v>1</v>
      </c>
      <c r="I17">
        <f t="shared" si="2"/>
        <v>1</v>
      </c>
      <c r="J17">
        <f t="shared" si="3"/>
        <v>2</v>
      </c>
      <c r="K17" s="4">
        <f t="shared" si="6"/>
        <v>352</v>
      </c>
      <c r="L17" t="str">
        <f t="shared" si="4"/>
        <v>Excellent</v>
      </c>
      <c r="M17" t="str">
        <f t="shared" si="5"/>
        <v>High Discount</v>
      </c>
    </row>
    <row r="18" spans="1:13" x14ac:dyDescent="0.3">
      <c r="A18" t="s">
        <v>45</v>
      </c>
      <c r="B18" s="4">
        <v>195</v>
      </c>
      <c r="C18" s="4">
        <v>360</v>
      </c>
      <c r="D18" s="1">
        <v>0.46</v>
      </c>
      <c r="E18">
        <v>-2</v>
      </c>
      <c r="F18" t="s">
        <v>44</v>
      </c>
      <c r="G18" s="8">
        <f t="shared" si="0"/>
        <v>5</v>
      </c>
      <c r="H18">
        <f t="shared" si="1"/>
        <v>1</v>
      </c>
      <c r="I18">
        <f t="shared" si="2"/>
        <v>1</v>
      </c>
      <c r="J18">
        <f t="shared" si="3"/>
        <v>2</v>
      </c>
      <c r="K18" s="4">
        <f t="shared" si="6"/>
        <v>165</v>
      </c>
      <c r="L18" t="str">
        <f t="shared" si="4"/>
        <v>Excellent</v>
      </c>
      <c r="M18" t="str">
        <f t="shared" si="5"/>
        <v>High Discount</v>
      </c>
    </row>
    <row r="19" spans="1:13" x14ac:dyDescent="0.3">
      <c r="A19" t="s">
        <v>47</v>
      </c>
      <c r="B19" s="4">
        <v>2025</v>
      </c>
      <c r="C19" s="4">
        <v>3971</v>
      </c>
      <c r="D19" s="1">
        <v>0.49</v>
      </c>
      <c r="E19">
        <v>-3</v>
      </c>
      <c r="F19" t="s">
        <v>44</v>
      </c>
      <c r="G19" s="8">
        <f t="shared" si="0"/>
        <v>5</v>
      </c>
      <c r="H19">
        <f t="shared" si="1"/>
        <v>1</v>
      </c>
      <c r="I19">
        <f t="shared" si="2"/>
        <v>1</v>
      </c>
      <c r="J19">
        <f t="shared" si="3"/>
        <v>3</v>
      </c>
      <c r="K19" s="4">
        <f t="shared" si="6"/>
        <v>1946</v>
      </c>
      <c r="L19" t="str">
        <f t="shared" si="4"/>
        <v>Excellent</v>
      </c>
      <c r="M19" t="str">
        <f t="shared" si="5"/>
        <v>High Discount</v>
      </c>
    </row>
    <row r="20" spans="1:13" x14ac:dyDescent="0.3">
      <c r="A20" t="s">
        <v>49</v>
      </c>
      <c r="B20" s="4">
        <v>2999</v>
      </c>
      <c r="C20" s="4">
        <v>3699</v>
      </c>
      <c r="D20" s="1">
        <v>0.19</v>
      </c>
      <c r="E20">
        <v>-5</v>
      </c>
      <c r="F20" t="s">
        <v>14</v>
      </c>
      <c r="G20" s="8">
        <f t="shared" si="0"/>
        <v>4.5999999999999996</v>
      </c>
      <c r="H20">
        <f t="shared" si="1"/>
        <v>1</v>
      </c>
      <c r="I20">
        <f t="shared" si="2"/>
        <v>1</v>
      </c>
      <c r="J20">
        <f t="shared" si="3"/>
        <v>5</v>
      </c>
      <c r="K20" s="4">
        <f t="shared" si="6"/>
        <v>700</v>
      </c>
      <c r="L20" t="str">
        <f t="shared" si="4"/>
        <v>Excellent</v>
      </c>
      <c r="M20" t="str">
        <f t="shared" si="5"/>
        <v>Low Discount</v>
      </c>
    </row>
    <row r="21" spans="1:13" x14ac:dyDescent="0.3">
      <c r="A21" t="s">
        <v>51</v>
      </c>
      <c r="B21" s="4">
        <v>998</v>
      </c>
      <c r="C21" s="4">
        <v>1966</v>
      </c>
      <c r="D21" s="1">
        <v>0.49</v>
      </c>
      <c r="E21">
        <v>-44</v>
      </c>
      <c r="F21" t="s">
        <v>14</v>
      </c>
      <c r="G21" s="8">
        <f t="shared" si="0"/>
        <v>4.5999999999999996</v>
      </c>
      <c r="H21">
        <f t="shared" si="1"/>
        <v>1</v>
      </c>
      <c r="I21">
        <f t="shared" si="2"/>
        <v>1</v>
      </c>
      <c r="J21">
        <f t="shared" si="3"/>
        <v>44</v>
      </c>
      <c r="K21" s="4">
        <f t="shared" si="6"/>
        <v>968</v>
      </c>
      <c r="L21" t="str">
        <f t="shared" si="4"/>
        <v>Excellent</v>
      </c>
      <c r="M21" t="str">
        <f t="shared" si="5"/>
        <v>High Discount</v>
      </c>
    </row>
    <row r="22" spans="1:13" x14ac:dyDescent="0.3">
      <c r="A22" t="s">
        <v>53</v>
      </c>
      <c r="B22" s="4">
        <v>38</v>
      </c>
      <c r="C22" s="4">
        <v>80</v>
      </c>
      <c r="D22" s="1">
        <v>0.53</v>
      </c>
      <c r="E22">
        <v>-13</v>
      </c>
      <c r="F22" t="s">
        <v>55</v>
      </c>
      <c r="G22" s="8">
        <f t="shared" si="0"/>
        <v>3.3</v>
      </c>
      <c r="H22">
        <f t="shared" si="1"/>
        <v>1</v>
      </c>
      <c r="I22">
        <f t="shared" si="2"/>
        <v>1</v>
      </c>
      <c r="J22">
        <f t="shared" si="3"/>
        <v>13</v>
      </c>
      <c r="K22" s="4">
        <f t="shared" si="6"/>
        <v>42</v>
      </c>
      <c r="L22" t="str">
        <f t="shared" si="4"/>
        <v>Average</v>
      </c>
      <c r="M22" t="str">
        <f t="shared" si="5"/>
        <v>High Discount</v>
      </c>
    </row>
    <row r="23" spans="1:13" x14ac:dyDescent="0.3">
      <c r="A23" t="s">
        <v>56</v>
      </c>
      <c r="B23" s="4">
        <v>1860</v>
      </c>
      <c r="C23" s="4">
        <v>3220</v>
      </c>
      <c r="D23" s="1">
        <v>0.42</v>
      </c>
      <c r="G23" s="8" t="str">
        <f t="shared" si="0"/>
        <v/>
      </c>
      <c r="H23">
        <f t="shared" si="1"/>
        <v>0</v>
      </c>
      <c r="I23">
        <f t="shared" si="2"/>
        <v>0</v>
      </c>
      <c r="J23">
        <f t="shared" si="3"/>
        <v>0</v>
      </c>
      <c r="K23" s="4">
        <f t="shared" si="6"/>
        <v>1360</v>
      </c>
      <c r="L23" t="str">
        <f t="shared" si="4"/>
        <v>Excellent</v>
      </c>
      <c r="M23" t="str">
        <f t="shared" si="5"/>
        <v>High Discount</v>
      </c>
    </row>
    <row r="24" spans="1:13" x14ac:dyDescent="0.3">
      <c r="A24" t="s">
        <v>58</v>
      </c>
      <c r="B24" s="4">
        <v>880</v>
      </c>
      <c r="C24" s="4">
        <v>1350</v>
      </c>
      <c r="D24" s="1">
        <v>0.35</v>
      </c>
      <c r="E24">
        <v>-6</v>
      </c>
      <c r="F24" t="s">
        <v>24</v>
      </c>
      <c r="G24" s="8">
        <f t="shared" si="0"/>
        <v>4</v>
      </c>
      <c r="H24">
        <f t="shared" si="1"/>
        <v>1</v>
      </c>
      <c r="I24">
        <f t="shared" si="2"/>
        <v>1</v>
      </c>
      <c r="J24">
        <f t="shared" si="3"/>
        <v>6</v>
      </c>
      <c r="K24" s="4">
        <f t="shared" si="6"/>
        <v>470</v>
      </c>
      <c r="L24" t="str">
        <f t="shared" si="4"/>
        <v>Average</v>
      </c>
      <c r="M24" t="str">
        <f t="shared" si="5"/>
        <v>Medium Discount</v>
      </c>
    </row>
    <row r="25" spans="1:13" x14ac:dyDescent="0.3">
      <c r="A25" t="s">
        <v>60</v>
      </c>
      <c r="B25" s="4">
        <v>1650</v>
      </c>
      <c r="C25" s="4">
        <v>2150</v>
      </c>
      <c r="D25" s="1">
        <v>0.23</v>
      </c>
      <c r="E25">
        <v>-14</v>
      </c>
      <c r="F25" t="s">
        <v>62</v>
      </c>
      <c r="G25" s="8">
        <f t="shared" si="0"/>
        <v>4.4000000000000004</v>
      </c>
      <c r="H25">
        <f t="shared" si="1"/>
        <v>1</v>
      </c>
      <c r="I25">
        <f t="shared" si="2"/>
        <v>1</v>
      </c>
      <c r="J25">
        <f t="shared" si="3"/>
        <v>14</v>
      </c>
      <c r="K25" s="4">
        <f t="shared" si="6"/>
        <v>500</v>
      </c>
      <c r="L25" t="str">
        <f t="shared" si="4"/>
        <v>Average</v>
      </c>
      <c r="M25" t="str">
        <f t="shared" si="5"/>
        <v>Medium Discount</v>
      </c>
    </row>
    <row r="26" spans="1:13" x14ac:dyDescent="0.3">
      <c r="A26" t="s">
        <v>63</v>
      </c>
      <c r="B26" s="4">
        <v>2048</v>
      </c>
      <c r="C26" s="4">
        <v>4500</v>
      </c>
      <c r="D26" s="1">
        <v>0.54</v>
      </c>
      <c r="E26">
        <v>-7</v>
      </c>
      <c r="F26" t="s">
        <v>65</v>
      </c>
      <c r="G26" s="8">
        <f t="shared" si="0"/>
        <v>4.3</v>
      </c>
      <c r="H26">
        <f t="shared" si="1"/>
        <v>1</v>
      </c>
      <c r="I26">
        <f t="shared" si="2"/>
        <v>1</v>
      </c>
      <c r="J26">
        <f t="shared" si="3"/>
        <v>7</v>
      </c>
      <c r="K26" s="4">
        <f t="shared" si="6"/>
        <v>2452</v>
      </c>
      <c r="L26" t="str">
        <f t="shared" si="4"/>
        <v>Average</v>
      </c>
      <c r="M26" t="str">
        <f t="shared" si="5"/>
        <v>High Discount</v>
      </c>
    </row>
    <row r="27" spans="1:13" x14ac:dyDescent="0.3">
      <c r="A27" t="s">
        <v>66</v>
      </c>
      <c r="B27" s="4">
        <v>420</v>
      </c>
      <c r="C27" s="4">
        <v>647</v>
      </c>
      <c r="D27" s="1">
        <v>0.35</v>
      </c>
      <c r="E27">
        <v>-49</v>
      </c>
      <c r="F27" t="s">
        <v>14</v>
      </c>
      <c r="G27" s="8">
        <f t="shared" si="0"/>
        <v>4.5999999999999996</v>
      </c>
      <c r="H27">
        <f t="shared" si="1"/>
        <v>1</v>
      </c>
      <c r="I27">
        <f t="shared" si="2"/>
        <v>1</v>
      </c>
      <c r="J27">
        <f t="shared" si="3"/>
        <v>49</v>
      </c>
      <c r="K27" s="4">
        <f t="shared" si="6"/>
        <v>227</v>
      </c>
      <c r="L27" t="str">
        <f t="shared" si="4"/>
        <v>Excellent</v>
      </c>
      <c r="M27" t="str">
        <f t="shared" si="5"/>
        <v>Medium Discount</v>
      </c>
    </row>
    <row r="28" spans="1:13" x14ac:dyDescent="0.3">
      <c r="A28" t="s">
        <v>68</v>
      </c>
      <c r="B28" s="4">
        <v>2880</v>
      </c>
      <c r="C28" s="4">
        <v>3520</v>
      </c>
      <c r="D28" s="1">
        <v>0.18</v>
      </c>
      <c r="E28">
        <v>-12</v>
      </c>
      <c r="F28" t="s">
        <v>32</v>
      </c>
      <c r="G28" s="8">
        <f t="shared" si="0"/>
        <v>3.8</v>
      </c>
      <c r="H28">
        <f t="shared" si="1"/>
        <v>1</v>
      </c>
      <c r="I28">
        <f t="shared" si="2"/>
        <v>1</v>
      </c>
      <c r="J28">
        <f t="shared" si="3"/>
        <v>12</v>
      </c>
      <c r="K28" s="4">
        <f t="shared" si="6"/>
        <v>640</v>
      </c>
      <c r="L28" t="str">
        <f t="shared" si="4"/>
        <v>Average</v>
      </c>
      <c r="M28" t="str">
        <f t="shared" si="5"/>
        <v>Low Discount</v>
      </c>
    </row>
    <row r="29" spans="1:13" x14ac:dyDescent="0.3">
      <c r="A29" t="s">
        <v>70</v>
      </c>
      <c r="B29" s="4">
        <v>1350</v>
      </c>
      <c r="C29" s="4">
        <v>1990</v>
      </c>
      <c r="D29" s="1">
        <v>0.32</v>
      </c>
      <c r="E29">
        <v>-13</v>
      </c>
      <c r="F29" t="s">
        <v>32</v>
      </c>
      <c r="G29" s="8">
        <f t="shared" si="0"/>
        <v>3.8</v>
      </c>
      <c r="H29">
        <f t="shared" si="1"/>
        <v>1</v>
      </c>
      <c r="I29">
        <f t="shared" si="2"/>
        <v>1</v>
      </c>
      <c r="J29">
        <f t="shared" si="3"/>
        <v>13</v>
      </c>
      <c r="K29" s="4">
        <f t="shared" si="6"/>
        <v>640</v>
      </c>
      <c r="L29" t="str">
        <f t="shared" si="4"/>
        <v>Average</v>
      </c>
      <c r="M29" t="str">
        <f t="shared" si="5"/>
        <v>Medium Discount</v>
      </c>
    </row>
    <row r="30" spans="1:13" x14ac:dyDescent="0.3">
      <c r="A30" t="s">
        <v>72</v>
      </c>
      <c r="B30" s="4">
        <v>1758</v>
      </c>
      <c r="C30" s="4">
        <v>2499</v>
      </c>
      <c r="D30" s="1">
        <v>0.3</v>
      </c>
      <c r="E30">
        <v>-20</v>
      </c>
      <c r="F30" t="s">
        <v>10</v>
      </c>
      <c r="G30" s="8">
        <f t="shared" si="0"/>
        <v>4.0999999999999996</v>
      </c>
      <c r="H30">
        <f t="shared" si="1"/>
        <v>1</v>
      </c>
      <c r="I30">
        <f t="shared" si="2"/>
        <v>1</v>
      </c>
      <c r="J30">
        <f t="shared" si="3"/>
        <v>20</v>
      </c>
      <c r="K30" s="4">
        <f t="shared" si="6"/>
        <v>741</v>
      </c>
      <c r="L30" t="str">
        <f t="shared" si="4"/>
        <v>Average</v>
      </c>
      <c r="M30" t="str">
        <f t="shared" si="5"/>
        <v>Medium Discount</v>
      </c>
    </row>
    <row r="31" spans="1:13" x14ac:dyDescent="0.3">
      <c r="A31" t="s">
        <v>73</v>
      </c>
      <c r="B31" s="4">
        <v>2200</v>
      </c>
      <c r="C31" s="4">
        <v>4080</v>
      </c>
      <c r="D31" s="1">
        <v>0.46</v>
      </c>
      <c r="G31" s="8" t="str">
        <f t="shared" si="0"/>
        <v/>
      </c>
      <c r="H31">
        <f t="shared" si="1"/>
        <v>0</v>
      </c>
      <c r="I31">
        <f t="shared" si="2"/>
        <v>0</v>
      </c>
      <c r="J31">
        <f t="shared" si="3"/>
        <v>0</v>
      </c>
      <c r="K31" s="4">
        <f t="shared" si="6"/>
        <v>1880</v>
      </c>
      <c r="L31" t="str">
        <f t="shared" si="4"/>
        <v>Excellent</v>
      </c>
      <c r="M31" t="str">
        <f t="shared" si="5"/>
        <v>High Discount</v>
      </c>
    </row>
    <row r="32" spans="1:13" x14ac:dyDescent="0.3">
      <c r="A32" t="s">
        <v>75</v>
      </c>
      <c r="B32" s="4">
        <v>185</v>
      </c>
      <c r="C32" s="4">
        <v>382</v>
      </c>
      <c r="D32" s="1">
        <v>0.52</v>
      </c>
      <c r="E32">
        <v>-9</v>
      </c>
      <c r="F32" t="s">
        <v>65</v>
      </c>
      <c r="G32" s="8">
        <f t="shared" si="0"/>
        <v>4.3</v>
      </c>
      <c r="H32">
        <f t="shared" si="1"/>
        <v>1</v>
      </c>
      <c r="I32">
        <f t="shared" si="2"/>
        <v>1</v>
      </c>
      <c r="J32">
        <f t="shared" si="3"/>
        <v>9</v>
      </c>
      <c r="K32" s="4">
        <f t="shared" si="6"/>
        <v>197</v>
      </c>
      <c r="L32" t="str">
        <f t="shared" si="4"/>
        <v>Average</v>
      </c>
      <c r="M32" t="str">
        <f t="shared" si="5"/>
        <v>High Discount</v>
      </c>
    </row>
    <row r="33" spans="1:13" x14ac:dyDescent="0.3">
      <c r="A33" t="s">
        <v>77</v>
      </c>
      <c r="B33" s="4">
        <v>980</v>
      </c>
      <c r="C33" s="4">
        <v>1490</v>
      </c>
      <c r="D33" s="1">
        <v>0.34</v>
      </c>
      <c r="E33">
        <v>-12</v>
      </c>
      <c r="F33" t="s">
        <v>18</v>
      </c>
      <c r="G33" s="8">
        <f t="shared" si="0"/>
        <v>4.7</v>
      </c>
      <c r="H33">
        <f t="shared" si="1"/>
        <v>1</v>
      </c>
      <c r="I33">
        <f t="shared" si="2"/>
        <v>1</v>
      </c>
      <c r="J33">
        <f t="shared" si="3"/>
        <v>12</v>
      </c>
      <c r="K33" s="4">
        <f t="shared" si="6"/>
        <v>510</v>
      </c>
      <c r="L33" t="str">
        <f t="shared" si="4"/>
        <v>Excellent</v>
      </c>
      <c r="M33" t="str">
        <f t="shared" si="5"/>
        <v>Medium Discount</v>
      </c>
    </row>
    <row r="34" spans="1:13" x14ac:dyDescent="0.3">
      <c r="A34" t="s">
        <v>79</v>
      </c>
      <c r="B34" s="4">
        <v>1820</v>
      </c>
      <c r="C34" s="4">
        <v>3490</v>
      </c>
      <c r="D34" s="1">
        <v>0.48</v>
      </c>
      <c r="E34">
        <v>-9</v>
      </c>
      <c r="F34" t="s">
        <v>65</v>
      </c>
      <c r="G34" s="8">
        <f t="shared" si="0"/>
        <v>4.3</v>
      </c>
      <c r="H34">
        <f t="shared" si="1"/>
        <v>1</v>
      </c>
      <c r="I34">
        <f t="shared" si="2"/>
        <v>1</v>
      </c>
      <c r="J34">
        <f t="shared" si="3"/>
        <v>9</v>
      </c>
      <c r="K34" s="4">
        <f t="shared" si="6"/>
        <v>1670</v>
      </c>
      <c r="L34" t="str">
        <f t="shared" si="4"/>
        <v>Average</v>
      </c>
      <c r="M34" t="str">
        <f t="shared" si="5"/>
        <v>High Discount</v>
      </c>
    </row>
    <row r="35" spans="1:13" x14ac:dyDescent="0.3">
      <c r="A35" t="s">
        <v>81</v>
      </c>
      <c r="B35" s="4">
        <v>1940</v>
      </c>
      <c r="C35" s="4">
        <v>2650</v>
      </c>
      <c r="D35" s="1">
        <v>0.27</v>
      </c>
      <c r="E35">
        <v>-20</v>
      </c>
      <c r="F35" t="s">
        <v>18</v>
      </c>
      <c r="G35" s="8">
        <f t="shared" si="0"/>
        <v>4.7</v>
      </c>
      <c r="H35">
        <f t="shared" si="1"/>
        <v>1</v>
      </c>
      <c r="I35">
        <f t="shared" si="2"/>
        <v>1</v>
      </c>
      <c r="J35">
        <f t="shared" si="3"/>
        <v>20</v>
      </c>
      <c r="K35" s="4">
        <f t="shared" si="6"/>
        <v>710</v>
      </c>
      <c r="L35" t="str">
        <f t="shared" si="4"/>
        <v>Excellent</v>
      </c>
      <c r="M35" t="str">
        <f t="shared" si="5"/>
        <v>Medium Discount</v>
      </c>
    </row>
    <row r="36" spans="1:13" x14ac:dyDescent="0.3">
      <c r="A36" t="s">
        <v>83</v>
      </c>
      <c r="B36" s="4">
        <v>1980</v>
      </c>
      <c r="C36" s="4">
        <v>2699</v>
      </c>
      <c r="D36" s="1">
        <v>0.27</v>
      </c>
      <c r="E36">
        <v>-32</v>
      </c>
      <c r="F36" t="s">
        <v>7</v>
      </c>
      <c r="G36" s="8">
        <f t="shared" si="0"/>
        <v>4.5</v>
      </c>
      <c r="H36">
        <f t="shared" si="1"/>
        <v>1</v>
      </c>
      <c r="I36">
        <f t="shared" si="2"/>
        <v>1</v>
      </c>
      <c r="J36">
        <f t="shared" si="3"/>
        <v>32</v>
      </c>
      <c r="K36" s="4">
        <f t="shared" si="6"/>
        <v>719</v>
      </c>
      <c r="L36" t="str">
        <f t="shared" si="4"/>
        <v>Excellent</v>
      </c>
      <c r="M36" t="str">
        <f t="shared" si="5"/>
        <v>Medium Discount</v>
      </c>
    </row>
    <row r="37" spans="1:13" x14ac:dyDescent="0.3">
      <c r="A37" t="s">
        <v>85</v>
      </c>
      <c r="B37" s="4">
        <v>1620</v>
      </c>
      <c r="C37" s="4">
        <v>2690</v>
      </c>
      <c r="D37" s="1">
        <v>0.4</v>
      </c>
      <c r="E37">
        <v>-1</v>
      </c>
      <c r="F37" t="s">
        <v>44</v>
      </c>
      <c r="G37" s="8">
        <f t="shared" si="0"/>
        <v>5</v>
      </c>
      <c r="H37">
        <f t="shared" si="1"/>
        <v>1</v>
      </c>
      <c r="I37">
        <f t="shared" si="2"/>
        <v>1</v>
      </c>
      <c r="J37">
        <f t="shared" si="3"/>
        <v>1</v>
      </c>
      <c r="K37" s="4">
        <f t="shared" si="6"/>
        <v>1070</v>
      </c>
      <c r="L37" t="str">
        <f t="shared" si="4"/>
        <v>Excellent</v>
      </c>
      <c r="M37" t="str">
        <f t="shared" si="5"/>
        <v>Medium Discount</v>
      </c>
    </row>
    <row r="38" spans="1:13" x14ac:dyDescent="0.3">
      <c r="A38" t="s">
        <v>87</v>
      </c>
      <c r="B38" s="4">
        <v>171</v>
      </c>
      <c r="C38" s="4">
        <v>360</v>
      </c>
      <c r="D38" s="1">
        <v>0.53</v>
      </c>
      <c r="E38">
        <v>-2</v>
      </c>
      <c r="F38" t="s">
        <v>44</v>
      </c>
      <c r="G38" s="8">
        <f t="shared" si="0"/>
        <v>5</v>
      </c>
      <c r="H38">
        <f t="shared" si="1"/>
        <v>1</v>
      </c>
      <c r="I38">
        <f t="shared" si="2"/>
        <v>1</v>
      </c>
      <c r="J38">
        <f t="shared" si="3"/>
        <v>2</v>
      </c>
      <c r="K38" s="4">
        <f t="shared" si="6"/>
        <v>189</v>
      </c>
      <c r="L38" t="str">
        <f t="shared" si="4"/>
        <v>Excellent</v>
      </c>
      <c r="M38" t="str">
        <f t="shared" si="5"/>
        <v>High Discount</v>
      </c>
    </row>
    <row r="39" spans="1:13" x14ac:dyDescent="0.3">
      <c r="A39" t="s">
        <v>88</v>
      </c>
      <c r="B39" s="4">
        <v>389</v>
      </c>
      <c r="C39" s="4">
        <v>656</v>
      </c>
      <c r="D39" s="1">
        <v>0.41</v>
      </c>
      <c r="E39">
        <v>-36</v>
      </c>
      <c r="F39" t="s">
        <v>65</v>
      </c>
      <c r="G39" s="8">
        <f t="shared" si="0"/>
        <v>4.3</v>
      </c>
      <c r="H39">
        <f t="shared" si="1"/>
        <v>1</v>
      </c>
      <c r="I39">
        <f t="shared" si="2"/>
        <v>1</v>
      </c>
      <c r="J39">
        <f t="shared" si="3"/>
        <v>36</v>
      </c>
      <c r="K39" s="4">
        <f t="shared" si="6"/>
        <v>267</v>
      </c>
      <c r="L39" t="str">
        <f t="shared" si="4"/>
        <v>Average</v>
      </c>
      <c r="M39" t="str">
        <f t="shared" si="5"/>
        <v>High Discount</v>
      </c>
    </row>
    <row r="40" spans="1:13" x14ac:dyDescent="0.3">
      <c r="A40" t="s">
        <v>90</v>
      </c>
      <c r="B40" s="4">
        <v>1800</v>
      </c>
      <c r="C40" s="4">
        <v>2700</v>
      </c>
      <c r="D40" s="1">
        <v>0.38</v>
      </c>
      <c r="E40">
        <v>-2</v>
      </c>
      <c r="F40" t="s">
        <v>7</v>
      </c>
      <c r="G40" s="8">
        <f t="shared" si="0"/>
        <v>4.5</v>
      </c>
      <c r="H40">
        <f t="shared" si="1"/>
        <v>1</v>
      </c>
      <c r="I40">
        <f t="shared" si="2"/>
        <v>1</v>
      </c>
      <c r="J40">
        <f t="shared" si="3"/>
        <v>2</v>
      </c>
      <c r="K40" s="4">
        <f t="shared" si="6"/>
        <v>900</v>
      </c>
      <c r="L40" t="str">
        <f t="shared" si="4"/>
        <v>Excellent</v>
      </c>
      <c r="M40" t="str">
        <f t="shared" si="5"/>
        <v>Medium Discount</v>
      </c>
    </row>
    <row r="41" spans="1:13" x14ac:dyDescent="0.3">
      <c r="A41" t="s">
        <v>91</v>
      </c>
      <c r="B41" s="4">
        <v>2750</v>
      </c>
      <c r="C41" s="4">
        <v>4471</v>
      </c>
      <c r="D41" s="1">
        <v>0.38</v>
      </c>
      <c r="G41" s="8" t="str">
        <f t="shared" si="0"/>
        <v/>
      </c>
      <c r="H41">
        <f t="shared" si="1"/>
        <v>0</v>
      </c>
      <c r="I41">
        <f t="shared" si="2"/>
        <v>0</v>
      </c>
      <c r="J41">
        <f t="shared" si="3"/>
        <v>0</v>
      </c>
      <c r="K41" s="4">
        <f t="shared" si="6"/>
        <v>1721</v>
      </c>
      <c r="L41" t="str">
        <f t="shared" si="4"/>
        <v>Excellent</v>
      </c>
      <c r="M41" t="str">
        <f t="shared" si="5"/>
        <v>Medium Discount</v>
      </c>
    </row>
    <row r="42" spans="1:13" x14ac:dyDescent="0.3">
      <c r="A42" t="s">
        <v>93</v>
      </c>
      <c r="B42" s="4">
        <v>475</v>
      </c>
      <c r="C42" s="4">
        <v>931</v>
      </c>
      <c r="D42" s="1">
        <v>0.49</v>
      </c>
      <c r="G42" s="8" t="str">
        <f t="shared" si="0"/>
        <v/>
      </c>
      <c r="H42">
        <f t="shared" si="1"/>
        <v>0</v>
      </c>
      <c r="I42">
        <f t="shared" si="2"/>
        <v>0</v>
      </c>
      <c r="J42">
        <f t="shared" si="3"/>
        <v>0</v>
      </c>
      <c r="K42" s="4">
        <f t="shared" si="6"/>
        <v>456</v>
      </c>
      <c r="L42" t="str">
        <f t="shared" si="4"/>
        <v>Excellent</v>
      </c>
      <c r="M42" t="str">
        <f t="shared" si="5"/>
        <v>High Discount</v>
      </c>
    </row>
    <row r="43" spans="1:13" x14ac:dyDescent="0.3">
      <c r="A43" t="s">
        <v>95</v>
      </c>
      <c r="B43" s="4">
        <v>238</v>
      </c>
      <c r="C43" s="4">
        <v>476</v>
      </c>
      <c r="D43" s="1">
        <v>0.5</v>
      </c>
      <c r="G43" s="8" t="str">
        <f t="shared" si="0"/>
        <v/>
      </c>
      <c r="H43">
        <f t="shared" si="1"/>
        <v>0</v>
      </c>
      <c r="I43">
        <f t="shared" si="2"/>
        <v>0</v>
      </c>
      <c r="J43">
        <f t="shared" si="3"/>
        <v>0</v>
      </c>
      <c r="K43" s="4">
        <f t="shared" si="6"/>
        <v>238</v>
      </c>
      <c r="L43" t="str">
        <f t="shared" si="4"/>
        <v>Excellent</v>
      </c>
      <c r="M43" t="str">
        <f t="shared" si="5"/>
        <v>High Discount</v>
      </c>
    </row>
    <row r="44" spans="1:13" x14ac:dyDescent="0.3">
      <c r="A44" t="s">
        <v>97</v>
      </c>
      <c r="B44" s="4">
        <v>610</v>
      </c>
      <c r="C44" s="4">
        <v>1060</v>
      </c>
      <c r="D44" s="1">
        <v>0.42</v>
      </c>
      <c r="G44" s="8" t="str">
        <f t="shared" si="0"/>
        <v/>
      </c>
      <c r="H44">
        <f t="shared" si="1"/>
        <v>0</v>
      </c>
      <c r="I44">
        <f t="shared" si="2"/>
        <v>0</v>
      </c>
      <c r="J44">
        <f t="shared" si="3"/>
        <v>0</v>
      </c>
      <c r="K44" s="4">
        <f t="shared" si="6"/>
        <v>450</v>
      </c>
      <c r="L44" t="str">
        <f t="shared" si="4"/>
        <v>Excellent</v>
      </c>
      <c r="M44" t="str">
        <f t="shared" si="5"/>
        <v>High Discount</v>
      </c>
    </row>
    <row r="45" spans="1:13" x14ac:dyDescent="0.3">
      <c r="A45" t="s">
        <v>99</v>
      </c>
      <c r="B45" s="4">
        <v>2132</v>
      </c>
      <c r="C45" s="4">
        <v>2169</v>
      </c>
      <c r="D45" s="1">
        <v>0.02</v>
      </c>
      <c r="G45" s="8" t="str">
        <f t="shared" si="0"/>
        <v/>
      </c>
      <c r="H45">
        <f t="shared" si="1"/>
        <v>0</v>
      </c>
      <c r="I45">
        <f t="shared" si="2"/>
        <v>0</v>
      </c>
      <c r="J45">
        <f t="shared" si="3"/>
        <v>0</v>
      </c>
      <c r="K45" s="4">
        <f t="shared" si="6"/>
        <v>37</v>
      </c>
      <c r="L45" t="str">
        <f t="shared" si="4"/>
        <v>Excellent</v>
      </c>
      <c r="M45" t="str">
        <f t="shared" si="5"/>
        <v>Low Discount</v>
      </c>
    </row>
    <row r="46" spans="1:13" x14ac:dyDescent="0.3">
      <c r="A46" t="s">
        <v>101</v>
      </c>
      <c r="B46" s="4">
        <v>999</v>
      </c>
      <c r="C46" s="4">
        <v>2000</v>
      </c>
      <c r="D46" s="1">
        <v>0.5</v>
      </c>
      <c r="G46" s="8" t="str">
        <f t="shared" si="0"/>
        <v/>
      </c>
      <c r="H46">
        <f t="shared" si="1"/>
        <v>0</v>
      </c>
      <c r="I46">
        <f t="shared" si="2"/>
        <v>0</v>
      </c>
      <c r="J46">
        <f t="shared" si="3"/>
        <v>0</v>
      </c>
      <c r="K46" s="4">
        <f t="shared" si="6"/>
        <v>1001</v>
      </c>
      <c r="L46" t="str">
        <f t="shared" si="4"/>
        <v>Excellent</v>
      </c>
      <c r="M46" t="str">
        <f t="shared" si="5"/>
        <v>High Discount</v>
      </c>
    </row>
    <row r="47" spans="1:13" x14ac:dyDescent="0.3">
      <c r="A47" t="s">
        <v>103</v>
      </c>
      <c r="B47" s="4">
        <v>1190</v>
      </c>
      <c r="C47" s="4">
        <v>1785</v>
      </c>
      <c r="D47" s="1">
        <v>0.33</v>
      </c>
      <c r="G47" s="8" t="str">
        <f t="shared" si="0"/>
        <v/>
      </c>
      <c r="H47">
        <f t="shared" si="1"/>
        <v>0</v>
      </c>
      <c r="I47">
        <f t="shared" si="2"/>
        <v>0</v>
      </c>
      <c r="J47">
        <f t="shared" si="3"/>
        <v>0</v>
      </c>
      <c r="K47" s="4">
        <f t="shared" si="6"/>
        <v>595</v>
      </c>
      <c r="L47" t="str">
        <f t="shared" si="4"/>
        <v>Excellent</v>
      </c>
      <c r="M47" t="str">
        <f t="shared" si="5"/>
        <v>Medium Discount</v>
      </c>
    </row>
    <row r="48" spans="1:13" x14ac:dyDescent="0.3">
      <c r="A48" t="s">
        <v>105</v>
      </c>
      <c r="B48" s="4">
        <v>671</v>
      </c>
      <c r="C48" s="4">
        <v>1316</v>
      </c>
      <c r="D48" s="1">
        <v>0.49</v>
      </c>
      <c r="G48" s="8" t="str">
        <f t="shared" si="0"/>
        <v/>
      </c>
      <c r="H48">
        <f t="shared" si="1"/>
        <v>0</v>
      </c>
      <c r="I48">
        <f t="shared" si="2"/>
        <v>0</v>
      </c>
      <c r="J48">
        <f t="shared" si="3"/>
        <v>0</v>
      </c>
      <c r="K48" s="4">
        <f t="shared" si="6"/>
        <v>645</v>
      </c>
      <c r="L48" t="str">
        <f t="shared" si="4"/>
        <v>Excellent</v>
      </c>
      <c r="M48" t="str">
        <f t="shared" si="5"/>
        <v>High Discount</v>
      </c>
    </row>
    <row r="49" spans="1:13" x14ac:dyDescent="0.3">
      <c r="A49" t="s">
        <v>107</v>
      </c>
      <c r="B49" s="4">
        <v>1200</v>
      </c>
      <c r="C49" s="4">
        <v>1950</v>
      </c>
      <c r="D49" s="1">
        <v>0.38</v>
      </c>
      <c r="G49" s="8" t="str">
        <f t="shared" si="0"/>
        <v/>
      </c>
      <c r="H49">
        <f t="shared" si="1"/>
        <v>0</v>
      </c>
      <c r="I49">
        <f t="shared" si="2"/>
        <v>0</v>
      </c>
      <c r="J49">
        <f t="shared" si="3"/>
        <v>0</v>
      </c>
      <c r="K49" s="4">
        <f t="shared" si="6"/>
        <v>750</v>
      </c>
      <c r="L49" t="str">
        <f t="shared" si="4"/>
        <v>Excellent</v>
      </c>
      <c r="M49" t="str">
        <f t="shared" si="5"/>
        <v>Medium Discount</v>
      </c>
    </row>
    <row r="50" spans="1:13" x14ac:dyDescent="0.3">
      <c r="A50" t="s">
        <v>110</v>
      </c>
      <c r="B50" s="4">
        <v>199</v>
      </c>
      <c r="C50" s="4">
        <v>504</v>
      </c>
      <c r="D50" s="1">
        <v>0.61</v>
      </c>
      <c r="G50" s="8" t="str">
        <f t="shared" si="0"/>
        <v/>
      </c>
      <c r="H50">
        <f t="shared" si="1"/>
        <v>0</v>
      </c>
      <c r="I50">
        <f t="shared" si="2"/>
        <v>0</v>
      </c>
      <c r="J50">
        <f t="shared" si="3"/>
        <v>0</v>
      </c>
      <c r="K50" s="4">
        <f t="shared" si="6"/>
        <v>305</v>
      </c>
      <c r="L50" t="str">
        <f t="shared" si="4"/>
        <v>Excellent</v>
      </c>
      <c r="M50" t="str">
        <f t="shared" si="5"/>
        <v>High Discount</v>
      </c>
    </row>
    <row r="51" spans="1:13" x14ac:dyDescent="0.3">
      <c r="A51" t="s">
        <v>112</v>
      </c>
      <c r="B51" s="4">
        <v>299</v>
      </c>
      <c r="C51" s="4">
        <v>600</v>
      </c>
      <c r="D51" s="1">
        <v>0.5</v>
      </c>
      <c r="G51" s="8" t="str">
        <f t="shared" si="0"/>
        <v/>
      </c>
      <c r="H51">
        <f t="shared" si="1"/>
        <v>0</v>
      </c>
      <c r="I51">
        <f t="shared" si="2"/>
        <v>0</v>
      </c>
      <c r="J51">
        <f t="shared" si="3"/>
        <v>0</v>
      </c>
      <c r="K51" s="4">
        <f t="shared" si="6"/>
        <v>301</v>
      </c>
      <c r="L51" t="str">
        <f t="shared" si="4"/>
        <v>Excellent</v>
      </c>
      <c r="M51" t="str">
        <f t="shared" si="5"/>
        <v>High Discount</v>
      </c>
    </row>
    <row r="52" spans="1:13" x14ac:dyDescent="0.3">
      <c r="A52" t="s">
        <v>114</v>
      </c>
      <c r="B52" s="4">
        <v>1660</v>
      </c>
      <c r="C52" s="4">
        <v>1699</v>
      </c>
      <c r="D52" s="1">
        <v>0.02</v>
      </c>
      <c r="G52" s="8" t="str">
        <f t="shared" si="0"/>
        <v/>
      </c>
      <c r="H52">
        <f t="shared" si="1"/>
        <v>0</v>
      </c>
      <c r="I52">
        <f t="shared" si="2"/>
        <v>0</v>
      </c>
      <c r="J52">
        <f t="shared" si="3"/>
        <v>0</v>
      </c>
      <c r="K52" s="4">
        <f t="shared" si="6"/>
        <v>39</v>
      </c>
      <c r="L52" t="str">
        <f t="shared" si="4"/>
        <v>Excellent</v>
      </c>
      <c r="M52" t="str">
        <f t="shared" si="5"/>
        <v>Low Discount</v>
      </c>
    </row>
    <row r="53" spans="1:13" x14ac:dyDescent="0.3">
      <c r="A53" t="s">
        <v>117</v>
      </c>
      <c r="B53" s="4">
        <v>299</v>
      </c>
      <c r="C53" s="4">
        <v>384</v>
      </c>
      <c r="D53" s="1">
        <v>0.22</v>
      </c>
      <c r="G53" s="8" t="str">
        <f t="shared" si="0"/>
        <v/>
      </c>
      <c r="H53">
        <f t="shared" si="1"/>
        <v>0</v>
      </c>
      <c r="I53">
        <f t="shared" si="2"/>
        <v>0</v>
      </c>
      <c r="J53">
        <f t="shared" si="3"/>
        <v>0</v>
      </c>
      <c r="K53" s="4">
        <f t="shared" si="6"/>
        <v>85</v>
      </c>
      <c r="L53" t="str">
        <f t="shared" si="4"/>
        <v>Excellent</v>
      </c>
      <c r="M53" t="str">
        <f t="shared" si="5"/>
        <v>Medium Discount</v>
      </c>
    </row>
    <row r="54" spans="1:13" x14ac:dyDescent="0.3">
      <c r="A54" t="s">
        <v>119</v>
      </c>
      <c r="B54" s="4">
        <v>1459</v>
      </c>
      <c r="C54" s="4">
        <v>1499</v>
      </c>
      <c r="D54" s="1">
        <v>0.03</v>
      </c>
      <c r="G54" s="8" t="str">
        <f t="shared" si="0"/>
        <v/>
      </c>
      <c r="H54">
        <f t="shared" si="1"/>
        <v>0</v>
      </c>
      <c r="I54">
        <f t="shared" si="2"/>
        <v>0</v>
      </c>
      <c r="J54">
        <f t="shared" si="3"/>
        <v>0</v>
      </c>
      <c r="K54" s="4">
        <f t="shared" si="6"/>
        <v>40</v>
      </c>
      <c r="L54" t="str">
        <f t="shared" si="4"/>
        <v>Excellent</v>
      </c>
      <c r="M54" t="str">
        <f t="shared" si="5"/>
        <v>Low Discount</v>
      </c>
    </row>
    <row r="55" spans="1:13" x14ac:dyDescent="0.3">
      <c r="A55" t="s">
        <v>121</v>
      </c>
      <c r="B55" s="4">
        <v>799</v>
      </c>
      <c r="C55" s="4">
        <v>1343</v>
      </c>
      <c r="D55" s="1">
        <v>0.41</v>
      </c>
      <c r="G55" s="8" t="str">
        <f t="shared" si="0"/>
        <v/>
      </c>
      <c r="H55">
        <f t="shared" si="1"/>
        <v>0</v>
      </c>
      <c r="I55">
        <f t="shared" si="2"/>
        <v>0</v>
      </c>
      <c r="J55">
        <f t="shared" si="3"/>
        <v>0</v>
      </c>
      <c r="K55" s="4">
        <f t="shared" si="6"/>
        <v>544</v>
      </c>
      <c r="L55" t="str">
        <f t="shared" si="4"/>
        <v>Excellent</v>
      </c>
      <c r="M55" t="str">
        <f t="shared" si="5"/>
        <v>High Discount</v>
      </c>
    </row>
    <row r="56" spans="1:13" x14ac:dyDescent="0.3">
      <c r="A56" t="s">
        <v>123</v>
      </c>
      <c r="B56" s="4">
        <v>499</v>
      </c>
      <c r="C56" s="4">
        <v>900</v>
      </c>
      <c r="D56" s="1">
        <v>0.45</v>
      </c>
      <c r="G56" s="8" t="str">
        <f t="shared" si="0"/>
        <v/>
      </c>
      <c r="H56">
        <f t="shared" si="1"/>
        <v>0</v>
      </c>
      <c r="I56">
        <f t="shared" si="2"/>
        <v>0</v>
      </c>
      <c r="J56">
        <f t="shared" si="3"/>
        <v>0</v>
      </c>
      <c r="K56" s="4">
        <f t="shared" si="6"/>
        <v>401</v>
      </c>
      <c r="L56" t="str">
        <f t="shared" si="4"/>
        <v>Excellent</v>
      </c>
      <c r="M56" t="str">
        <f t="shared" si="5"/>
        <v>High Discount</v>
      </c>
    </row>
    <row r="57" spans="1:13" x14ac:dyDescent="0.3">
      <c r="A57" t="s">
        <v>125</v>
      </c>
      <c r="B57" s="4">
        <v>699</v>
      </c>
      <c r="C57" s="4">
        <v>1343</v>
      </c>
      <c r="D57" s="1">
        <v>0.48</v>
      </c>
      <c r="G57" s="8" t="str">
        <f t="shared" si="0"/>
        <v/>
      </c>
      <c r="H57">
        <f t="shared" si="1"/>
        <v>0</v>
      </c>
      <c r="I57">
        <f t="shared" si="2"/>
        <v>0</v>
      </c>
      <c r="J57">
        <f t="shared" si="3"/>
        <v>0</v>
      </c>
      <c r="K57" s="4">
        <f t="shared" si="6"/>
        <v>644</v>
      </c>
      <c r="L57" t="str">
        <f t="shared" si="4"/>
        <v>Excellent</v>
      </c>
      <c r="M57" t="str">
        <f t="shared" si="5"/>
        <v>High Discount</v>
      </c>
    </row>
    <row r="58" spans="1:13" x14ac:dyDescent="0.3">
      <c r="A58" t="s">
        <v>126</v>
      </c>
      <c r="B58" s="4">
        <v>799</v>
      </c>
      <c r="C58" s="4">
        <v>1567</v>
      </c>
      <c r="D58" s="1">
        <v>0.49</v>
      </c>
      <c r="G58" s="8" t="str">
        <f t="shared" si="0"/>
        <v/>
      </c>
      <c r="H58">
        <f t="shared" si="1"/>
        <v>0</v>
      </c>
      <c r="I58">
        <f t="shared" si="2"/>
        <v>0</v>
      </c>
      <c r="J58">
        <f t="shared" si="3"/>
        <v>0</v>
      </c>
      <c r="K58" s="4">
        <f t="shared" si="6"/>
        <v>768</v>
      </c>
      <c r="L58" t="str">
        <f t="shared" si="4"/>
        <v>Excellent</v>
      </c>
      <c r="M58" t="str">
        <f t="shared" si="5"/>
        <v>High Discount</v>
      </c>
    </row>
    <row r="59" spans="1:13" x14ac:dyDescent="0.3">
      <c r="A59" t="s">
        <v>128</v>
      </c>
      <c r="B59" s="4">
        <v>2799</v>
      </c>
      <c r="C59" s="4">
        <v>3810</v>
      </c>
      <c r="D59" s="1">
        <v>0.27</v>
      </c>
      <c r="G59" s="8" t="str">
        <f t="shared" si="0"/>
        <v/>
      </c>
      <c r="H59">
        <f t="shared" si="1"/>
        <v>0</v>
      </c>
      <c r="I59">
        <f t="shared" si="2"/>
        <v>0</v>
      </c>
      <c r="J59">
        <f t="shared" si="3"/>
        <v>0</v>
      </c>
      <c r="K59" s="4">
        <f t="shared" si="6"/>
        <v>1011</v>
      </c>
      <c r="L59" t="str">
        <f t="shared" si="4"/>
        <v>Excellent</v>
      </c>
      <c r="M59" t="str">
        <f t="shared" si="5"/>
        <v>Medium Discount</v>
      </c>
    </row>
    <row r="60" spans="1:13" x14ac:dyDescent="0.3">
      <c r="A60" t="s">
        <v>131</v>
      </c>
      <c r="B60" s="4">
        <v>2170</v>
      </c>
      <c r="C60" s="4">
        <v>2500</v>
      </c>
      <c r="D60" s="1">
        <v>0.55000000000000004</v>
      </c>
      <c r="E60">
        <v>-6</v>
      </c>
      <c r="F60" t="s">
        <v>133</v>
      </c>
      <c r="G60" s="8">
        <f t="shared" si="0"/>
        <v>2.5</v>
      </c>
      <c r="H60">
        <f t="shared" si="1"/>
        <v>1</v>
      </c>
      <c r="I60">
        <f t="shared" si="2"/>
        <v>1</v>
      </c>
      <c r="J60">
        <f t="shared" si="3"/>
        <v>6</v>
      </c>
      <c r="K60" s="4">
        <f t="shared" si="6"/>
        <v>330</v>
      </c>
      <c r="L60" t="str">
        <f t="shared" si="4"/>
        <v>Poor</v>
      </c>
      <c r="M60" t="str">
        <f t="shared" si="5"/>
        <v>High Discount</v>
      </c>
    </row>
    <row r="61" spans="1:13" x14ac:dyDescent="0.3">
      <c r="A61" t="s">
        <v>134</v>
      </c>
      <c r="B61" s="4">
        <v>458</v>
      </c>
      <c r="C61" s="4">
        <v>986</v>
      </c>
      <c r="D61" s="1">
        <v>0.13</v>
      </c>
      <c r="E61">
        <v>-10</v>
      </c>
      <c r="F61" t="s">
        <v>136</v>
      </c>
      <c r="G61" s="8">
        <f t="shared" si="0"/>
        <v>3</v>
      </c>
      <c r="H61">
        <f t="shared" si="1"/>
        <v>1</v>
      </c>
      <c r="I61">
        <f t="shared" si="2"/>
        <v>1</v>
      </c>
      <c r="J61">
        <f t="shared" si="3"/>
        <v>10</v>
      </c>
      <c r="K61" s="4">
        <f t="shared" si="6"/>
        <v>528</v>
      </c>
      <c r="L61" t="str">
        <f t="shared" si="4"/>
        <v>Average</v>
      </c>
      <c r="M61" t="str">
        <f t="shared" si="5"/>
        <v>Low Discount</v>
      </c>
    </row>
    <row r="62" spans="1:13" x14ac:dyDescent="0.3">
      <c r="A62" t="s">
        <v>137</v>
      </c>
      <c r="B62" s="4">
        <v>2115</v>
      </c>
      <c r="C62" s="4">
        <v>4700</v>
      </c>
      <c r="D62" s="1">
        <v>0.54</v>
      </c>
      <c r="E62">
        <v>-13</v>
      </c>
      <c r="F62" t="s">
        <v>139</v>
      </c>
      <c r="G62" s="8">
        <f t="shared" si="0"/>
        <v>2.1</v>
      </c>
      <c r="H62">
        <f t="shared" si="1"/>
        <v>1</v>
      </c>
      <c r="I62">
        <f t="shared" si="2"/>
        <v>1</v>
      </c>
      <c r="J62">
        <f t="shared" si="3"/>
        <v>13</v>
      </c>
      <c r="K62" s="4">
        <f t="shared" si="6"/>
        <v>2585</v>
      </c>
      <c r="L62" t="str">
        <f t="shared" si="4"/>
        <v>Poor</v>
      </c>
      <c r="M62" t="str">
        <f t="shared" si="5"/>
        <v>High Discount</v>
      </c>
    </row>
    <row r="63" spans="1:13" x14ac:dyDescent="0.3">
      <c r="A63" t="s">
        <v>140</v>
      </c>
      <c r="B63" s="4">
        <v>445</v>
      </c>
      <c r="C63" s="4">
        <v>873</v>
      </c>
      <c r="D63" s="1">
        <v>0.55000000000000004</v>
      </c>
      <c r="E63">
        <v>-69</v>
      </c>
      <c r="F63" t="s">
        <v>142</v>
      </c>
      <c r="G63" s="8">
        <f t="shared" si="0"/>
        <v>2.8</v>
      </c>
      <c r="H63">
        <f t="shared" si="1"/>
        <v>1</v>
      </c>
      <c r="I63">
        <f t="shared" si="2"/>
        <v>1</v>
      </c>
      <c r="J63">
        <f t="shared" si="3"/>
        <v>69</v>
      </c>
      <c r="K63" s="4">
        <f t="shared" si="6"/>
        <v>428</v>
      </c>
      <c r="L63" t="str">
        <f t="shared" si="4"/>
        <v>Poor</v>
      </c>
      <c r="M63" t="str">
        <f t="shared" si="5"/>
        <v>High Discount</v>
      </c>
    </row>
    <row r="64" spans="1:13" x14ac:dyDescent="0.3">
      <c r="A64" t="s">
        <v>143</v>
      </c>
      <c r="B64" s="4">
        <v>325</v>
      </c>
      <c r="C64" s="4">
        <v>680</v>
      </c>
      <c r="D64" s="1">
        <v>0.49</v>
      </c>
      <c r="E64">
        <v>-15</v>
      </c>
      <c r="F64" t="s">
        <v>145</v>
      </c>
      <c r="G64" s="8">
        <f t="shared" si="0"/>
        <v>2.7</v>
      </c>
      <c r="H64">
        <f t="shared" si="1"/>
        <v>1</v>
      </c>
      <c r="I64">
        <f t="shared" si="2"/>
        <v>1</v>
      </c>
      <c r="J64">
        <f t="shared" si="3"/>
        <v>15</v>
      </c>
      <c r="K64" s="4">
        <f t="shared" si="6"/>
        <v>355</v>
      </c>
      <c r="L64" t="str">
        <f t="shared" si="4"/>
        <v>Poor</v>
      </c>
      <c r="M64" t="str">
        <f t="shared" si="5"/>
        <v>High Discount</v>
      </c>
    </row>
    <row r="65" spans="1:13" x14ac:dyDescent="0.3">
      <c r="A65" t="s">
        <v>146</v>
      </c>
      <c r="B65" s="4">
        <v>1220</v>
      </c>
      <c r="C65" s="4">
        <v>1555</v>
      </c>
      <c r="D65" s="1">
        <v>0.52</v>
      </c>
      <c r="E65">
        <v>-16</v>
      </c>
      <c r="F65" t="s">
        <v>148</v>
      </c>
      <c r="G65" s="8">
        <f t="shared" si="0"/>
        <v>2.9</v>
      </c>
      <c r="H65">
        <f t="shared" si="1"/>
        <v>1</v>
      </c>
      <c r="I65">
        <f t="shared" si="2"/>
        <v>1</v>
      </c>
      <c r="J65">
        <f t="shared" si="3"/>
        <v>16</v>
      </c>
      <c r="K65" s="4">
        <f t="shared" si="6"/>
        <v>335</v>
      </c>
      <c r="L65" t="str">
        <f t="shared" si="4"/>
        <v>Poor</v>
      </c>
      <c r="M65" t="str">
        <f t="shared" si="5"/>
        <v>High Discount</v>
      </c>
    </row>
    <row r="66" spans="1:13" x14ac:dyDescent="0.3">
      <c r="A66" t="s">
        <v>149</v>
      </c>
      <c r="B66" s="4">
        <v>990</v>
      </c>
      <c r="C66" s="4">
        <v>1814</v>
      </c>
      <c r="D66" s="1">
        <v>0.22</v>
      </c>
      <c r="E66">
        <v>-6</v>
      </c>
      <c r="F66" t="s">
        <v>151</v>
      </c>
      <c r="G66" s="8">
        <f t="shared" si="0"/>
        <v>2.2000000000000002</v>
      </c>
      <c r="H66">
        <f t="shared" si="1"/>
        <v>1</v>
      </c>
      <c r="I66">
        <f t="shared" si="2"/>
        <v>1</v>
      </c>
      <c r="J66">
        <f t="shared" si="3"/>
        <v>6</v>
      </c>
      <c r="K66" s="4">
        <f t="shared" si="6"/>
        <v>824</v>
      </c>
      <c r="L66" t="str">
        <f t="shared" si="4"/>
        <v>Poor</v>
      </c>
      <c r="M66" t="str">
        <f t="shared" si="5"/>
        <v>Medium Discount</v>
      </c>
    </row>
    <row r="67" spans="1:13" x14ac:dyDescent="0.3">
      <c r="A67" t="s">
        <v>152</v>
      </c>
      <c r="B67" s="4">
        <v>1000</v>
      </c>
      <c r="C67" s="4">
        <v>2000</v>
      </c>
      <c r="D67" s="1">
        <v>0.45</v>
      </c>
      <c r="E67">
        <v>-7</v>
      </c>
      <c r="F67" t="s">
        <v>153</v>
      </c>
      <c r="G67" s="8">
        <f t="shared" ref="G67:G110" si="7">IF(ISNUMBER(F67), F67, IF(ISBLANK(F67), "", VALUE(LEFT(F67, FIND(" ", F67 &amp; " ")-1))))</f>
        <v>2.2999999999999998</v>
      </c>
      <c r="H67">
        <f t="shared" ref="H67:H110" si="8">IF(ISBLANK(F67),0,1)</f>
        <v>1</v>
      </c>
      <c r="I67">
        <f t="shared" ref="I67:I110" si="9">IF(ISBLANK(E67),0,1)</f>
        <v>1</v>
      </c>
      <c r="J67">
        <f t="shared" ref="J67:J110" si="10">IFERROR(ABS(E67),"No Review")</f>
        <v>7</v>
      </c>
      <c r="K67" s="4">
        <f t="shared" si="6"/>
        <v>1000</v>
      </c>
      <c r="L67" t="str">
        <f t="shared" ref="L67:L110" si="11">IF(G67&lt;3,"Poor",IF(G67&lt;=4.4,"Average","Excellent"))</f>
        <v>Poor</v>
      </c>
      <c r="M67" t="str">
        <f t="shared" ref="M67:M110" si="12">IF(ISBLANK(D67),"",IF(D67&lt;0.2,"Low Discount",IF(D67&lt;=0.4,"Medium Discount","High Discount")))</f>
        <v>High Discount</v>
      </c>
    </row>
    <row r="68" spans="1:13" x14ac:dyDescent="0.3">
      <c r="A68" t="s">
        <v>154</v>
      </c>
      <c r="B68" s="4">
        <v>3750</v>
      </c>
      <c r="C68" s="4">
        <v>6143</v>
      </c>
      <c r="D68" s="1">
        <v>0.5</v>
      </c>
      <c r="E68">
        <v>-5</v>
      </c>
      <c r="F68" t="s">
        <v>136</v>
      </c>
      <c r="G68" s="8">
        <f t="shared" si="7"/>
        <v>3</v>
      </c>
      <c r="H68">
        <f t="shared" si="8"/>
        <v>1</v>
      </c>
      <c r="I68">
        <f t="shared" si="9"/>
        <v>1</v>
      </c>
      <c r="J68">
        <f t="shared" si="10"/>
        <v>5</v>
      </c>
      <c r="K68" s="4">
        <f t="shared" si="6"/>
        <v>2393</v>
      </c>
      <c r="L68" t="str">
        <f t="shared" si="11"/>
        <v>Average</v>
      </c>
      <c r="M68" t="str">
        <f t="shared" si="12"/>
        <v>High Discount</v>
      </c>
    </row>
    <row r="69" spans="1:13" x14ac:dyDescent="0.3">
      <c r="A69" t="s">
        <v>156</v>
      </c>
      <c r="B69" s="4">
        <v>382</v>
      </c>
      <c r="C69" s="4">
        <v>700</v>
      </c>
      <c r="D69" s="1">
        <v>0.39</v>
      </c>
      <c r="E69">
        <v>-17</v>
      </c>
      <c r="F69" t="s">
        <v>158</v>
      </c>
      <c r="G69" s="8">
        <f t="shared" si="7"/>
        <v>2.6</v>
      </c>
      <c r="H69">
        <f t="shared" si="8"/>
        <v>1</v>
      </c>
      <c r="I69">
        <f t="shared" si="9"/>
        <v>1</v>
      </c>
      <c r="J69">
        <f t="shared" si="10"/>
        <v>17</v>
      </c>
      <c r="K69" s="4">
        <f t="shared" ref="K69:K110" si="13">C69-B69</f>
        <v>318</v>
      </c>
      <c r="L69" t="str">
        <f t="shared" si="11"/>
        <v>Poor</v>
      </c>
      <c r="M69" t="str">
        <f t="shared" si="12"/>
        <v>Medium Discount</v>
      </c>
    </row>
    <row r="70" spans="1:13" x14ac:dyDescent="0.3">
      <c r="A70" t="s">
        <v>159</v>
      </c>
      <c r="B70" s="4">
        <v>2300</v>
      </c>
      <c r="C70" s="4">
        <v>3240</v>
      </c>
      <c r="D70" s="1">
        <v>0.45</v>
      </c>
      <c r="E70">
        <v>-5</v>
      </c>
      <c r="F70" t="s">
        <v>136</v>
      </c>
      <c r="G70" s="8">
        <f t="shared" si="7"/>
        <v>3</v>
      </c>
      <c r="H70">
        <f t="shared" si="8"/>
        <v>1</v>
      </c>
      <c r="I70">
        <f t="shared" si="9"/>
        <v>1</v>
      </c>
      <c r="J70">
        <f t="shared" si="10"/>
        <v>5</v>
      </c>
      <c r="K70" s="4">
        <f t="shared" si="13"/>
        <v>940</v>
      </c>
      <c r="L70" t="str">
        <f t="shared" si="11"/>
        <v>Average</v>
      </c>
      <c r="M70" t="str">
        <f t="shared" si="12"/>
        <v>High Discount</v>
      </c>
    </row>
    <row r="71" spans="1:13" x14ac:dyDescent="0.3">
      <c r="A71" t="s">
        <v>161</v>
      </c>
      <c r="B71" s="4">
        <v>345</v>
      </c>
      <c r="C71" s="4">
        <v>602</v>
      </c>
      <c r="D71" s="1">
        <v>0.28999999999999998</v>
      </c>
      <c r="E71">
        <v>-6</v>
      </c>
      <c r="F71" t="s">
        <v>153</v>
      </c>
      <c r="G71" s="8">
        <f t="shared" si="7"/>
        <v>2.2999999999999998</v>
      </c>
      <c r="H71">
        <f t="shared" si="8"/>
        <v>1</v>
      </c>
      <c r="I71">
        <f t="shared" si="9"/>
        <v>1</v>
      </c>
      <c r="J71">
        <f t="shared" si="10"/>
        <v>6</v>
      </c>
      <c r="K71" s="4">
        <f t="shared" si="13"/>
        <v>257</v>
      </c>
      <c r="L71" t="str">
        <f t="shared" si="11"/>
        <v>Poor</v>
      </c>
      <c r="M71" t="str">
        <f t="shared" si="12"/>
        <v>Medium Discount</v>
      </c>
    </row>
    <row r="72" spans="1:13" x14ac:dyDescent="0.3">
      <c r="A72" t="s">
        <v>164</v>
      </c>
      <c r="B72" s="4">
        <v>509</v>
      </c>
      <c r="C72" s="4">
        <v>899</v>
      </c>
      <c r="D72" s="1">
        <v>0.43</v>
      </c>
      <c r="E72">
        <v>-5</v>
      </c>
      <c r="F72" t="s">
        <v>136</v>
      </c>
      <c r="G72" s="8">
        <f t="shared" si="7"/>
        <v>3</v>
      </c>
      <c r="H72">
        <f t="shared" si="8"/>
        <v>1</v>
      </c>
      <c r="I72">
        <f t="shared" si="9"/>
        <v>1</v>
      </c>
      <c r="J72">
        <f t="shared" si="10"/>
        <v>5</v>
      </c>
      <c r="K72" s="4">
        <f t="shared" si="13"/>
        <v>390</v>
      </c>
      <c r="L72" t="str">
        <f t="shared" si="11"/>
        <v>Average</v>
      </c>
      <c r="M72" t="str">
        <f t="shared" si="12"/>
        <v>High Discount</v>
      </c>
    </row>
    <row r="73" spans="1:13" x14ac:dyDescent="0.3">
      <c r="A73" t="s">
        <v>166</v>
      </c>
      <c r="B73" s="4">
        <v>968</v>
      </c>
      <c r="C73" s="4">
        <v>1814</v>
      </c>
      <c r="D73" s="1">
        <v>0.43</v>
      </c>
      <c r="E73">
        <v>-6</v>
      </c>
      <c r="F73" t="s">
        <v>151</v>
      </c>
      <c r="G73" s="8">
        <f t="shared" si="7"/>
        <v>2.2000000000000002</v>
      </c>
      <c r="H73">
        <f t="shared" si="8"/>
        <v>1</v>
      </c>
      <c r="I73">
        <f t="shared" si="9"/>
        <v>1</v>
      </c>
      <c r="J73">
        <f t="shared" si="10"/>
        <v>6</v>
      </c>
      <c r="K73" s="4">
        <f t="shared" si="13"/>
        <v>846</v>
      </c>
      <c r="L73" t="str">
        <f t="shared" si="11"/>
        <v>Poor</v>
      </c>
      <c r="M73" t="str">
        <f t="shared" si="12"/>
        <v>High Discount</v>
      </c>
    </row>
    <row r="74" spans="1:13" x14ac:dyDescent="0.3">
      <c r="A74" t="s">
        <v>167</v>
      </c>
      <c r="B74" s="4">
        <v>1570</v>
      </c>
      <c r="C74" s="4">
        <v>2988</v>
      </c>
      <c r="D74" s="1">
        <v>0.47</v>
      </c>
      <c r="E74">
        <v>-7</v>
      </c>
      <c r="F74" t="s">
        <v>139</v>
      </c>
      <c r="G74" s="8">
        <f t="shared" si="7"/>
        <v>2.1</v>
      </c>
      <c r="H74">
        <f t="shared" si="8"/>
        <v>1</v>
      </c>
      <c r="I74">
        <f t="shared" si="9"/>
        <v>1</v>
      </c>
      <c r="J74">
        <f t="shared" si="10"/>
        <v>7</v>
      </c>
      <c r="K74" s="4">
        <f t="shared" si="13"/>
        <v>1418</v>
      </c>
      <c r="L74" t="str">
        <f t="shared" si="11"/>
        <v>Poor</v>
      </c>
      <c r="M74" t="str">
        <f t="shared" si="12"/>
        <v>High Discount</v>
      </c>
    </row>
    <row r="75" spans="1:13" x14ac:dyDescent="0.3">
      <c r="A75" t="s">
        <v>169</v>
      </c>
      <c r="B75" s="4">
        <v>790</v>
      </c>
      <c r="C75" s="4">
        <v>1485</v>
      </c>
      <c r="D75" s="1">
        <v>0.47</v>
      </c>
      <c r="G75" s="8" t="str">
        <f t="shared" si="7"/>
        <v/>
      </c>
      <c r="H75">
        <f t="shared" si="8"/>
        <v>0</v>
      </c>
      <c r="I75">
        <f t="shared" si="9"/>
        <v>0</v>
      </c>
      <c r="J75">
        <f t="shared" si="10"/>
        <v>0</v>
      </c>
      <c r="K75" s="4">
        <f t="shared" si="13"/>
        <v>695</v>
      </c>
      <c r="L75" t="str">
        <f t="shared" si="11"/>
        <v>Excellent</v>
      </c>
      <c r="M75" t="str">
        <f t="shared" si="12"/>
        <v>High Discount</v>
      </c>
    </row>
    <row r="76" spans="1:13" x14ac:dyDescent="0.3">
      <c r="A76" t="s">
        <v>171</v>
      </c>
      <c r="B76" s="4">
        <v>690</v>
      </c>
      <c r="C76" s="4">
        <v>1200</v>
      </c>
      <c r="D76" s="1">
        <v>0.47</v>
      </c>
      <c r="G76" s="8" t="str">
        <f t="shared" si="7"/>
        <v/>
      </c>
      <c r="H76">
        <f t="shared" si="8"/>
        <v>0</v>
      </c>
      <c r="I76">
        <f t="shared" si="9"/>
        <v>0</v>
      </c>
      <c r="J76">
        <f t="shared" si="10"/>
        <v>0</v>
      </c>
      <c r="K76" s="4">
        <f t="shared" si="13"/>
        <v>510</v>
      </c>
      <c r="L76" t="str">
        <f t="shared" si="11"/>
        <v>Excellent</v>
      </c>
      <c r="M76" t="str">
        <f t="shared" si="12"/>
        <v>High Discount</v>
      </c>
    </row>
    <row r="77" spans="1:13" x14ac:dyDescent="0.3">
      <c r="A77" t="s">
        <v>172</v>
      </c>
      <c r="B77" s="4">
        <v>1732</v>
      </c>
      <c r="C77" s="4">
        <v>1799</v>
      </c>
      <c r="D77" s="1">
        <v>0.43</v>
      </c>
      <c r="G77" s="8" t="str">
        <f t="shared" si="7"/>
        <v/>
      </c>
      <c r="H77">
        <f t="shared" si="8"/>
        <v>0</v>
      </c>
      <c r="I77">
        <f t="shared" si="9"/>
        <v>0</v>
      </c>
      <c r="J77">
        <f t="shared" si="10"/>
        <v>0</v>
      </c>
      <c r="K77" s="4">
        <f t="shared" si="13"/>
        <v>67</v>
      </c>
      <c r="L77" t="str">
        <f t="shared" si="11"/>
        <v>Excellent</v>
      </c>
      <c r="M77" t="str">
        <f t="shared" si="12"/>
        <v>High Discount</v>
      </c>
    </row>
    <row r="78" spans="1:13" x14ac:dyDescent="0.3">
      <c r="A78" t="s">
        <v>174</v>
      </c>
      <c r="B78" s="4">
        <v>230</v>
      </c>
      <c r="C78" s="4">
        <v>450</v>
      </c>
      <c r="D78" s="1">
        <v>0.04</v>
      </c>
      <c r="G78" s="8" t="str">
        <f t="shared" si="7"/>
        <v/>
      </c>
      <c r="H78">
        <f t="shared" si="8"/>
        <v>0</v>
      </c>
      <c r="I78">
        <f t="shared" si="9"/>
        <v>0</v>
      </c>
      <c r="J78">
        <f t="shared" si="10"/>
        <v>0</v>
      </c>
      <c r="K78" s="4">
        <f t="shared" si="13"/>
        <v>220</v>
      </c>
      <c r="L78" t="str">
        <f t="shared" si="11"/>
        <v>Excellent</v>
      </c>
      <c r="M78" t="str">
        <f t="shared" si="12"/>
        <v>Low Discount</v>
      </c>
    </row>
    <row r="79" spans="1:13" x14ac:dyDescent="0.3">
      <c r="A79" t="s">
        <v>176</v>
      </c>
      <c r="B79" s="4">
        <v>1189</v>
      </c>
      <c r="C79" s="4">
        <v>2199</v>
      </c>
      <c r="D79" s="1">
        <v>0.49</v>
      </c>
      <c r="E79">
        <v>-1</v>
      </c>
      <c r="F79" t="s">
        <v>136</v>
      </c>
      <c r="G79" s="8">
        <f t="shared" si="7"/>
        <v>3</v>
      </c>
      <c r="H79">
        <f t="shared" si="8"/>
        <v>1</v>
      </c>
      <c r="I79">
        <f t="shared" si="9"/>
        <v>1</v>
      </c>
      <c r="J79">
        <f t="shared" si="10"/>
        <v>1</v>
      </c>
      <c r="K79" s="4">
        <f t="shared" si="13"/>
        <v>1010</v>
      </c>
      <c r="L79" t="str">
        <f t="shared" si="11"/>
        <v>Average</v>
      </c>
      <c r="M79" t="str">
        <f t="shared" si="12"/>
        <v>High Discount</v>
      </c>
    </row>
    <row r="80" spans="1:13" x14ac:dyDescent="0.3">
      <c r="A80" t="s">
        <v>177</v>
      </c>
      <c r="B80" s="4">
        <v>979</v>
      </c>
      <c r="C80" s="4">
        <v>1920</v>
      </c>
      <c r="D80" s="1">
        <v>0.46</v>
      </c>
      <c r="E80">
        <v>-1</v>
      </c>
      <c r="F80" t="s">
        <v>44</v>
      </c>
      <c r="G80" s="8">
        <f t="shared" si="7"/>
        <v>5</v>
      </c>
      <c r="H80">
        <f t="shared" si="8"/>
        <v>1</v>
      </c>
      <c r="I80">
        <f t="shared" si="9"/>
        <v>1</v>
      </c>
      <c r="J80">
        <f t="shared" si="10"/>
        <v>1</v>
      </c>
      <c r="K80" s="4">
        <f t="shared" si="13"/>
        <v>941</v>
      </c>
      <c r="L80" t="str">
        <f t="shared" si="11"/>
        <v>Excellent</v>
      </c>
      <c r="M80" t="str">
        <f t="shared" si="12"/>
        <v>High Discount</v>
      </c>
    </row>
    <row r="81" spans="1:13" x14ac:dyDescent="0.3">
      <c r="A81" t="s">
        <v>179</v>
      </c>
      <c r="B81" s="4">
        <v>1460</v>
      </c>
      <c r="C81" s="4">
        <v>2290</v>
      </c>
      <c r="D81" s="1">
        <v>0.49</v>
      </c>
      <c r="G81" s="8" t="str">
        <f t="shared" si="7"/>
        <v/>
      </c>
      <c r="H81">
        <f t="shared" si="8"/>
        <v>0</v>
      </c>
      <c r="I81">
        <f t="shared" si="9"/>
        <v>0</v>
      </c>
      <c r="J81">
        <f t="shared" si="10"/>
        <v>0</v>
      </c>
      <c r="K81" s="4">
        <f t="shared" si="13"/>
        <v>830</v>
      </c>
      <c r="L81" t="str">
        <f t="shared" si="11"/>
        <v>Excellent</v>
      </c>
      <c r="M81" t="str">
        <f t="shared" si="12"/>
        <v>High Discount</v>
      </c>
    </row>
    <row r="82" spans="1:13" x14ac:dyDescent="0.3">
      <c r="A82" t="s">
        <v>181</v>
      </c>
      <c r="B82" s="4">
        <v>1666</v>
      </c>
      <c r="C82" s="4">
        <v>1699</v>
      </c>
      <c r="D82" s="1">
        <v>0.36</v>
      </c>
      <c r="G82" s="8" t="str">
        <f t="shared" si="7"/>
        <v/>
      </c>
      <c r="H82">
        <f t="shared" si="8"/>
        <v>0</v>
      </c>
      <c r="I82">
        <f t="shared" si="9"/>
        <v>0</v>
      </c>
      <c r="J82">
        <f t="shared" si="10"/>
        <v>0</v>
      </c>
      <c r="K82" s="4">
        <f t="shared" si="13"/>
        <v>33</v>
      </c>
      <c r="L82" t="str">
        <f t="shared" si="11"/>
        <v>Excellent</v>
      </c>
      <c r="M82" t="str">
        <f t="shared" si="12"/>
        <v>Medium Discount</v>
      </c>
    </row>
    <row r="83" spans="1:13" x14ac:dyDescent="0.3">
      <c r="A83" t="s">
        <v>182</v>
      </c>
      <c r="B83" s="4">
        <v>330</v>
      </c>
      <c r="C83" s="4">
        <v>647</v>
      </c>
      <c r="D83" s="1">
        <v>0.02</v>
      </c>
      <c r="E83">
        <v>-1</v>
      </c>
      <c r="F83" t="s">
        <v>24</v>
      </c>
      <c r="G83" s="8">
        <f t="shared" si="7"/>
        <v>4</v>
      </c>
      <c r="H83">
        <f t="shared" si="8"/>
        <v>1</v>
      </c>
      <c r="I83">
        <f t="shared" si="9"/>
        <v>1</v>
      </c>
      <c r="J83">
        <f t="shared" si="10"/>
        <v>1</v>
      </c>
      <c r="K83" s="4">
        <f t="shared" si="13"/>
        <v>317</v>
      </c>
      <c r="L83" t="str">
        <f t="shared" si="11"/>
        <v>Average</v>
      </c>
      <c r="M83" t="str">
        <f t="shared" si="12"/>
        <v>Low Discount</v>
      </c>
    </row>
    <row r="84" spans="1:13" x14ac:dyDescent="0.3">
      <c r="A84" t="s">
        <v>183</v>
      </c>
      <c r="B84" s="4">
        <v>1466</v>
      </c>
      <c r="C84" s="4">
        <v>1699</v>
      </c>
      <c r="D84" s="1">
        <v>0.49</v>
      </c>
      <c r="G84" s="8" t="str">
        <f t="shared" si="7"/>
        <v/>
      </c>
      <c r="H84">
        <f t="shared" si="8"/>
        <v>0</v>
      </c>
      <c r="I84">
        <f t="shared" si="9"/>
        <v>0</v>
      </c>
      <c r="J84">
        <f t="shared" si="10"/>
        <v>0</v>
      </c>
      <c r="K84" s="4">
        <f t="shared" si="13"/>
        <v>233</v>
      </c>
      <c r="L84" t="str">
        <f t="shared" si="11"/>
        <v>Excellent</v>
      </c>
      <c r="M84" t="str">
        <f t="shared" si="12"/>
        <v>High Discount</v>
      </c>
    </row>
    <row r="85" spans="1:13" x14ac:dyDescent="0.3">
      <c r="A85" t="s">
        <v>184</v>
      </c>
      <c r="B85" s="4">
        <v>274</v>
      </c>
      <c r="C85" s="4">
        <v>537</v>
      </c>
      <c r="D85" s="1">
        <v>0.49</v>
      </c>
      <c r="G85" s="8" t="str">
        <f t="shared" si="7"/>
        <v/>
      </c>
      <c r="H85">
        <f t="shared" si="8"/>
        <v>0</v>
      </c>
      <c r="I85">
        <f t="shared" si="9"/>
        <v>0</v>
      </c>
      <c r="J85">
        <f t="shared" si="10"/>
        <v>0</v>
      </c>
      <c r="K85" s="4">
        <f t="shared" si="13"/>
        <v>263</v>
      </c>
      <c r="L85" t="str">
        <f t="shared" si="11"/>
        <v>Excellent</v>
      </c>
      <c r="M85" t="str">
        <f t="shared" si="12"/>
        <v>High Discount</v>
      </c>
    </row>
    <row r="86" spans="1:13" x14ac:dyDescent="0.3">
      <c r="A86" t="s">
        <v>186</v>
      </c>
      <c r="B86" s="4">
        <v>799</v>
      </c>
      <c r="C86" s="4">
        <v>900</v>
      </c>
      <c r="D86" s="1">
        <v>0.14000000000000001</v>
      </c>
      <c r="G86" s="8" t="str">
        <f t="shared" si="7"/>
        <v/>
      </c>
      <c r="H86">
        <f t="shared" si="8"/>
        <v>0</v>
      </c>
      <c r="I86">
        <f t="shared" si="9"/>
        <v>0</v>
      </c>
      <c r="J86">
        <f t="shared" si="10"/>
        <v>0</v>
      </c>
      <c r="K86" s="4">
        <f t="shared" si="13"/>
        <v>101</v>
      </c>
      <c r="L86" t="str">
        <f t="shared" si="11"/>
        <v>Excellent</v>
      </c>
      <c r="M86" t="str">
        <f t="shared" si="12"/>
        <v>Low Discount</v>
      </c>
    </row>
    <row r="87" spans="1:13" x14ac:dyDescent="0.3">
      <c r="A87" t="s">
        <v>188</v>
      </c>
      <c r="B87" s="4">
        <v>1468</v>
      </c>
      <c r="C87" s="4">
        <v>1699</v>
      </c>
      <c r="D87" s="1">
        <v>0.49</v>
      </c>
      <c r="G87" s="8" t="str">
        <f t="shared" si="7"/>
        <v/>
      </c>
      <c r="H87">
        <f t="shared" si="8"/>
        <v>0</v>
      </c>
      <c r="I87">
        <f t="shared" si="9"/>
        <v>0</v>
      </c>
      <c r="J87">
        <f t="shared" si="10"/>
        <v>0</v>
      </c>
      <c r="K87" s="4">
        <f t="shared" si="13"/>
        <v>231</v>
      </c>
      <c r="L87" t="str">
        <f t="shared" si="11"/>
        <v>Excellent</v>
      </c>
      <c r="M87" t="str">
        <f t="shared" si="12"/>
        <v>High Discount</v>
      </c>
    </row>
    <row r="88" spans="1:13" x14ac:dyDescent="0.3">
      <c r="A88" t="s">
        <v>189</v>
      </c>
      <c r="B88" s="4">
        <v>630</v>
      </c>
      <c r="C88" s="4">
        <v>1100</v>
      </c>
      <c r="D88" s="1">
        <v>0.11</v>
      </c>
      <c r="G88" s="8" t="str">
        <f t="shared" si="7"/>
        <v/>
      </c>
      <c r="H88">
        <f t="shared" si="8"/>
        <v>0</v>
      </c>
      <c r="I88">
        <f t="shared" si="9"/>
        <v>0</v>
      </c>
      <c r="J88">
        <f t="shared" si="10"/>
        <v>0</v>
      </c>
      <c r="K88" s="4">
        <f t="shared" si="13"/>
        <v>470</v>
      </c>
      <c r="L88" t="str">
        <f t="shared" si="11"/>
        <v>Excellent</v>
      </c>
      <c r="M88" t="str">
        <f t="shared" si="12"/>
        <v>Low Discount</v>
      </c>
    </row>
    <row r="89" spans="1:13" x14ac:dyDescent="0.3">
      <c r="A89" t="s">
        <v>191</v>
      </c>
      <c r="B89" s="4">
        <v>850</v>
      </c>
      <c r="C89" s="4">
        <v>1700</v>
      </c>
      <c r="D89" s="1">
        <v>0.49</v>
      </c>
      <c r="G89" s="8" t="str">
        <f t="shared" si="7"/>
        <v/>
      </c>
      <c r="H89">
        <f t="shared" si="8"/>
        <v>0</v>
      </c>
      <c r="I89">
        <f t="shared" si="9"/>
        <v>0</v>
      </c>
      <c r="J89">
        <f t="shared" si="10"/>
        <v>0</v>
      </c>
      <c r="K89" s="4">
        <f t="shared" si="13"/>
        <v>850</v>
      </c>
      <c r="L89" t="str">
        <f t="shared" si="11"/>
        <v>Excellent</v>
      </c>
      <c r="M89" t="str">
        <f t="shared" si="12"/>
        <v>High Discount</v>
      </c>
    </row>
    <row r="90" spans="1:13" x14ac:dyDescent="0.3">
      <c r="A90" t="s">
        <v>193</v>
      </c>
      <c r="B90" s="4">
        <v>1300</v>
      </c>
      <c r="C90" s="4">
        <v>2500</v>
      </c>
      <c r="D90" s="1">
        <v>0.14000000000000001</v>
      </c>
      <c r="G90" s="8" t="str">
        <f t="shared" si="7"/>
        <v/>
      </c>
      <c r="H90">
        <f t="shared" si="8"/>
        <v>0</v>
      </c>
      <c r="I90">
        <f t="shared" si="9"/>
        <v>0</v>
      </c>
      <c r="J90">
        <f t="shared" si="10"/>
        <v>0</v>
      </c>
      <c r="K90" s="4">
        <f t="shared" si="13"/>
        <v>1200</v>
      </c>
      <c r="L90" t="str">
        <f t="shared" si="11"/>
        <v>Excellent</v>
      </c>
      <c r="M90" t="str">
        <f t="shared" si="12"/>
        <v>Low Discount</v>
      </c>
    </row>
    <row r="91" spans="1:13" x14ac:dyDescent="0.3">
      <c r="A91" t="s">
        <v>194</v>
      </c>
      <c r="B91" s="4">
        <v>105</v>
      </c>
      <c r="C91" s="4">
        <v>200</v>
      </c>
      <c r="D91" s="1">
        <v>0.43</v>
      </c>
      <c r="G91" s="8" t="str">
        <f t="shared" si="7"/>
        <v/>
      </c>
      <c r="H91">
        <f t="shared" si="8"/>
        <v>0</v>
      </c>
      <c r="I91">
        <f t="shared" si="9"/>
        <v>0</v>
      </c>
      <c r="J91">
        <f t="shared" si="10"/>
        <v>0</v>
      </c>
      <c r="K91" s="4">
        <f t="shared" si="13"/>
        <v>95</v>
      </c>
      <c r="L91" t="str">
        <f t="shared" si="11"/>
        <v>Excellent</v>
      </c>
      <c r="M91" t="str">
        <f t="shared" si="12"/>
        <v>High Discount</v>
      </c>
    </row>
    <row r="92" spans="1:13" x14ac:dyDescent="0.3">
      <c r="A92" t="s">
        <v>196</v>
      </c>
      <c r="B92" s="4">
        <v>899</v>
      </c>
      <c r="C92" s="4">
        <v>1699</v>
      </c>
      <c r="D92" s="1">
        <v>0.5</v>
      </c>
      <c r="G92" s="8" t="str">
        <f t="shared" si="7"/>
        <v/>
      </c>
      <c r="H92">
        <f t="shared" si="8"/>
        <v>0</v>
      </c>
      <c r="I92">
        <f t="shared" si="9"/>
        <v>0</v>
      </c>
      <c r="J92">
        <f t="shared" si="10"/>
        <v>0</v>
      </c>
      <c r="K92" s="4">
        <f t="shared" si="13"/>
        <v>800</v>
      </c>
      <c r="L92" t="str">
        <f t="shared" si="11"/>
        <v>Excellent</v>
      </c>
      <c r="M92" t="str">
        <f t="shared" si="12"/>
        <v>High Discount</v>
      </c>
    </row>
    <row r="93" spans="1:13" x14ac:dyDescent="0.3">
      <c r="A93" t="s">
        <v>197</v>
      </c>
      <c r="B93" s="4">
        <v>1200</v>
      </c>
      <c r="C93" s="4">
        <v>2400</v>
      </c>
      <c r="D93" s="1">
        <v>0.48</v>
      </c>
      <c r="G93" s="8" t="str">
        <f t="shared" si="7"/>
        <v/>
      </c>
      <c r="H93">
        <f t="shared" si="8"/>
        <v>0</v>
      </c>
      <c r="I93">
        <f t="shared" si="9"/>
        <v>0</v>
      </c>
      <c r="J93">
        <f t="shared" si="10"/>
        <v>0</v>
      </c>
      <c r="K93" s="4">
        <f t="shared" si="13"/>
        <v>1200</v>
      </c>
      <c r="L93" t="str">
        <f t="shared" si="11"/>
        <v>Excellent</v>
      </c>
      <c r="M93" t="str">
        <f t="shared" si="12"/>
        <v>High Discount</v>
      </c>
    </row>
    <row r="94" spans="1:13" x14ac:dyDescent="0.3">
      <c r="A94" t="s">
        <v>199</v>
      </c>
      <c r="B94" s="4">
        <v>1526</v>
      </c>
      <c r="C94" s="4">
        <v>1660</v>
      </c>
      <c r="D94" s="1">
        <v>0.48</v>
      </c>
      <c r="G94" s="8" t="str">
        <f t="shared" si="7"/>
        <v/>
      </c>
      <c r="H94">
        <f t="shared" si="8"/>
        <v>0</v>
      </c>
      <c r="I94">
        <f t="shared" si="9"/>
        <v>0</v>
      </c>
      <c r="J94">
        <f t="shared" si="10"/>
        <v>0</v>
      </c>
      <c r="K94" s="4">
        <f t="shared" si="13"/>
        <v>134</v>
      </c>
      <c r="L94" t="str">
        <f t="shared" si="11"/>
        <v>Excellent</v>
      </c>
      <c r="M94" t="str">
        <f t="shared" si="12"/>
        <v>High Discount</v>
      </c>
    </row>
    <row r="95" spans="1:13" x14ac:dyDescent="0.3">
      <c r="A95" t="s">
        <v>200</v>
      </c>
      <c r="B95" s="4">
        <v>1462</v>
      </c>
      <c r="C95" s="4">
        <v>1499</v>
      </c>
      <c r="D95" s="1">
        <v>0.47</v>
      </c>
      <c r="G95" s="8" t="str">
        <f t="shared" si="7"/>
        <v/>
      </c>
      <c r="H95">
        <f t="shared" si="8"/>
        <v>0</v>
      </c>
      <c r="I95">
        <f t="shared" si="9"/>
        <v>0</v>
      </c>
      <c r="J95">
        <f t="shared" si="10"/>
        <v>0</v>
      </c>
      <c r="K95" s="4">
        <f t="shared" si="13"/>
        <v>37</v>
      </c>
      <c r="L95" t="str">
        <f t="shared" si="11"/>
        <v>Excellent</v>
      </c>
      <c r="M95" t="str">
        <f t="shared" si="12"/>
        <v>High Discount</v>
      </c>
    </row>
    <row r="96" spans="1:13" x14ac:dyDescent="0.3">
      <c r="A96" t="s">
        <v>201</v>
      </c>
      <c r="B96" s="4">
        <v>248</v>
      </c>
      <c r="C96" s="4">
        <v>486</v>
      </c>
      <c r="D96" s="1">
        <v>0.5</v>
      </c>
      <c r="G96" s="8" t="str">
        <f t="shared" si="7"/>
        <v/>
      </c>
      <c r="H96">
        <f t="shared" si="8"/>
        <v>0</v>
      </c>
      <c r="I96">
        <f t="shared" si="9"/>
        <v>0</v>
      </c>
      <c r="J96">
        <f t="shared" si="10"/>
        <v>0</v>
      </c>
      <c r="K96" s="4">
        <f t="shared" si="13"/>
        <v>238</v>
      </c>
      <c r="L96" t="str">
        <f t="shared" si="11"/>
        <v>Excellent</v>
      </c>
      <c r="M96" t="str">
        <f t="shared" si="12"/>
        <v>High Discount</v>
      </c>
    </row>
    <row r="97" spans="1:13" x14ac:dyDescent="0.3">
      <c r="A97" t="s">
        <v>203</v>
      </c>
      <c r="B97" s="4">
        <v>3546</v>
      </c>
      <c r="C97" s="4">
        <v>3699</v>
      </c>
      <c r="D97" s="1">
        <v>0.08</v>
      </c>
      <c r="G97" s="8" t="str">
        <f t="shared" si="7"/>
        <v/>
      </c>
      <c r="H97">
        <f t="shared" si="8"/>
        <v>0</v>
      </c>
      <c r="I97">
        <f t="shared" si="9"/>
        <v>0</v>
      </c>
      <c r="J97">
        <f t="shared" si="10"/>
        <v>0</v>
      </c>
      <c r="K97" s="4">
        <f t="shared" si="13"/>
        <v>153</v>
      </c>
      <c r="L97" t="str">
        <f t="shared" si="11"/>
        <v>Excellent</v>
      </c>
      <c r="M97" t="str">
        <f t="shared" si="12"/>
        <v>Low Discount</v>
      </c>
    </row>
    <row r="98" spans="1:13" x14ac:dyDescent="0.3">
      <c r="A98" t="s">
        <v>204</v>
      </c>
      <c r="B98" s="4">
        <v>525</v>
      </c>
      <c r="C98" s="4">
        <v>1029</v>
      </c>
      <c r="D98" s="1">
        <v>0.02</v>
      </c>
      <c r="G98" s="8" t="str">
        <f t="shared" si="7"/>
        <v/>
      </c>
      <c r="H98">
        <f t="shared" si="8"/>
        <v>0</v>
      </c>
      <c r="I98">
        <f t="shared" si="9"/>
        <v>0</v>
      </c>
      <c r="J98">
        <f t="shared" si="10"/>
        <v>0</v>
      </c>
      <c r="K98" s="4">
        <f t="shared" si="13"/>
        <v>504</v>
      </c>
      <c r="L98" t="str">
        <f t="shared" si="11"/>
        <v>Excellent</v>
      </c>
      <c r="M98" t="str">
        <f t="shared" si="12"/>
        <v>Low Discount</v>
      </c>
    </row>
    <row r="99" spans="1:13" x14ac:dyDescent="0.3">
      <c r="A99" t="s">
        <v>206</v>
      </c>
      <c r="B99" s="4">
        <v>1080</v>
      </c>
      <c r="C99" s="4">
        <v>1874</v>
      </c>
      <c r="D99" s="1">
        <v>0.49</v>
      </c>
      <c r="G99" s="8" t="str">
        <f t="shared" si="7"/>
        <v/>
      </c>
      <c r="H99">
        <f t="shared" si="8"/>
        <v>0</v>
      </c>
      <c r="I99">
        <f t="shared" si="9"/>
        <v>0</v>
      </c>
      <c r="J99">
        <f t="shared" si="10"/>
        <v>0</v>
      </c>
      <c r="K99" s="4">
        <f t="shared" si="13"/>
        <v>794</v>
      </c>
      <c r="L99" t="str">
        <f t="shared" si="11"/>
        <v>Excellent</v>
      </c>
      <c r="M99" t="str">
        <f t="shared" si="12"/>
        <v>High Discount</v>
      </c>
    </row>
    <row r="100" spans="1:13" x14ac:dyDescent="0.3">
      <c r="A100" t="s">
        <v>208</v>
      </c>
      <c r="B100" s="4">
        <v>3640</v>
      </c>
      <c r="C100" s="4">
        <v>4588</v>
      </c>
      <c r="D100" s="1">
        <v>0.04</v>
      </c>
      <c r="E100">
        <v>-1</v>
      </c>
      <c r="F100" t="s">
        <v>44</v>
      </c>
      <c r="G100" s="8">
        <f t="shared" si="7"/>
        <v>5</v>
      </c>
      <c r="H100">
        <f t="shared" si="8"/>
        <v>1</v>
      </c>
      <c r="I100">
        <f t="shared" si="9"/>
        <v>1</v>
      </c>
      <c r="J100">
        <f t="shared" si="10"/>
        <v>1</v>
      </c>
      <c r="K100" s="4">
        <f t="shared" si="13"/>
        <v>948</v>
      </c>
      <c r="L100" t="str">
        <f t="shared" si="11"/>
        <v>Excellent</v>
      </c>
      <c r="M100" t="str">
        <f t="shared" si="12"/>
        <v>Low Discount</v>
      </c>
    </row>
    <row r="101" spans="1:13" x14ac:dyDescent="0.3">
      <c r="A101" t="s">
        <v>210</v>
      </c>
      <c r="B101" s="4">
        <v>1420</v>
      </c>
      <c r="C101" s="4">
        <v>2420</v>
      </c>
      <c r="D101" s="1">
        <v>0.49</v>
      </c>
      <c r="G101" s="8" t="str">
        <f t="shared" si="7"/>
        <v/>
      </c>
      <c r="H101">
        <f t="shared" si="8"/>
        <v>0</v>
      </c>
      <c r="I101">
        <f t="shared" si="9"/>
        <v>0</v>
      </c>
      <c r="J101">
        <f t="shared" si="10"/>
        <v>0</v>
      </c>
      <c r="K101" s="4">
        <f t="shared" si="13"/>
        <v>1000</v>
      </c>
      <c r="L101" t="str">
        <f t="shared" si="11"/>
        <v>Excellent</v>
      </c>
      <c r="M101" t="str">
        <f t="shared" si="12"/>
        <v>High Discount</v>
      </c>
    </row>
    <row r="102" spans="1:13" x14ac:dyDescent="0.3">
      <c r="A102" t="s">
        <v>212</v>
      </c>
      <c r="B102" s="4">
        <v>1875</v>
      </c>
      <c r="C102" s="4">
        <v>1899</v>
      </c>
      <c r="D102" s="1">
        <v>0.42</v>
      </c>
      <c r="G102" s="8" t="str">
        <f t="shared" si="7"/>
        <v/>
      </c>
      <c r="H102">
        <f t="shared" si="8"/>
        <v>0</v>
      </c>
      <c r="I102">
        <f t="shared" si="9"/>
        <v>0</v>
      </c>
      <c r="J102">
        <f t="shared" si="10"/>
        <v>0</v>
      </c>
      <c r="K102" s="4">
        <f t="shared" si="13"/>
        <v>24</v>
      </c>
      <c r="L102" t="str">
        <f t="shared" si="11"/>
        <v>Excellent</v>
      </c>
      <c r="M102" t="str">
        <f t="shared" si="12"/>
        <v>High Discount</v>
      </c>
    </row>
    <row r="103" spans="1:13" x14ac:dyDescent="0.3">
      <c r="A103" t="s">
        <v>214</v>
      </c>
      <c r="B103" s="4">
        <v>198</v>
      </c>
      <c r="C103" s="4">
        <v>260</v>
      </c>
      <c r="D103" s="1">
        <v>0.21</v>
      </c>
      <c r="G103" s="8" t="str">
        <f t="shared" si="7"/>
        <v/>
      </c>
      <c r="I103">
        <f t="shared" si="9"/>
        <v>0</v>
      </c>
      <c r="J103">
        <f t="shared" si="10"/>
        <v>0</v>
      </c>
      <c r="K103" s="4">
        <f t="shared" si="13"/>
        <v>62</v>
      </c>
      <c r="L103" t="str">
        <f t="shared" si="11"/>
        <v>Excellent</v>
      </c>
      <c r="M103" t="str">
        <f t="shared" si="12"/>
        <v>Medium Discount</v>
      </c>
    </row>
    <row r="104" spans="1:13" x14ac:dyDescent="0.3">
      <c r="A104" t="s">
        <v>216</v>
      </c>
      <c r="B104" s="4">
        <v>1150</v>
      </c>
      <c r="C104" s="4">
        <v>1737</v>
      </c>
      <c r="D104" s="1">
        <v>0.41</v>
      </c>
      <c r="G104" s="8" t="str">
        <f t="shared" si="7"/>
        <v/>
      </c>
      <c r="H104">
        <f t="shared" si="8"/>
        <v>0</v>
      </c>
      <c r="I104">
        <f t="shared" si="9"/>
        <v>0</v>
      </c>
      <c r="J104">
        <f t="shared" si="10"/>
        <v>0</v>
      </c>
      <c r="K104" s="4">
        <f t="shared" si="13"/>
        <v>587</v>
      </c>
      <c r="L104" t="str">
        <f t="shared" si="11"/>
        <v>Excellent</v>
      </c>
      <c r="M104" t="str">
        <f t="shared" si="12"/>
        <v>High Discount</v>
      </c>
    </row>
    <row r="105" spans="1:13" x14ac:dyDescent="0.3">
      <c r="A105" t="s">
        <v>218</v>
      </c>
      <c r="B105" s="4">
        <v>1190</v>
      </c>
      <c r="C105" s="4">
        <v>1810</v>
      </c>
      <c r="D105" s="1">
        <v>0.01</v>
      </c>
      <c r="G105" s="8" t="str">
        <f t="shared" si="7"/>
        <v/>
      </c>
      <c r="H105">
        <f t="shared" si="8"/>
        <v>0</v>
      </c>
      <c r="I105">
        <f t="shared" si="9"/>
        <v>0</v>
      </c>
      <c r="J105">
        <f t="shared" si="10"/>
        <v>0</v>
      </c>
      <c r="K105" s="4">
        <f t="shared" si="13"/>
        <v>620</v>
      </c>
      <c r="L105" t="str">
        <f t="shared" si="11"/>
        <v>Excellent</v>
      </c>
      <c r="M105" t="str">
        <f t="shared" si="12"/>
        <v>Low Discount</v>
      </c>
    </row>
    <row r="106" spans="1:13" x14ac:dyDescent="0.3">
      <c r="A106" t="s">
        <v>220</v>
      </c>
      <c r="B106" s="4">
        <v>1658</v>
      </c>
      <c r="C106" s="4">
        <v>1699</v>
      </c>
      <c r="D106" s="1">
        <v>0.24</v>
      </c>
      <c r="G106" s="8" t="str">
        <f t="shared" si="7"/>
        <v/>
      </c>
      <c r="H106">
        <f t="shared" si="8"/>
        <v>0</v>
      </c>
      <c r="I106">
        <f t="shared" si="9"/>
        <v>0</v>
      </c>
      <c r="J106">
        <f t="shared" si="10"/>
        <v>0</v>
      </c>
      <c r="K106" s="4">
        <f t="shared" si="13"/>
        <v>41</v>
      </c>
      <c r="L106" t="str">
        <f t="shared" si="11"/>
        <v>Excellent</v>
      </c>
      <c r="M106" t="str">
        <f t="shared" si="12"/>
        <v>Medium Discount</v>
      </c>
    </row>
    <row r="107" spans="1:13" x14ac:dyDescent="0.3">
      <c r="A107" t="s">
        <v>221</v>
      </c>
      <c r="B107" s="4">
        <v>1768</v>
      </c>
      <c r="C107" s="4">
        <v>1799</v>
      </c>
      <c r="D107" s="1">
        <v>0.34</v>
      </c>
      <c r="G107" s="8" t="str">
        <f t="shared" si="7"/>
        <v/>
      </c>
      <c r="H107">
        <f t="shared" si="8"/>
        <v>0</v>
      </c>
      <c r="I107">
        <f t="shared" si="9"/>
        <v>0</v>
      </c>
      <c r="J107">
        <f t="shared" si="10"/>
        <v>0</v>
      </c>
      <c r="K107" s="4">
        <f t="shared" si="13"/>
        <v>31</v>
      </c>
      <c r="L107" t="str">
        <f t="shared" si="11"/>
        <v>Excellent</v>
      </c>
      <c r="M107" t="str">
        <f t="shared" si="12"/>
        <v>Medium Discount</v>
      </c>
    </row>
    <row r="108" spans="1:13" x14ac:dyDescent="0.3">
      <c r="A108" t="s">
        <v>222</v>
      </c>
      <c r="B108" s="4">
        <v>199</v>
      </c>
      <c r="C108" s="4">
        <v>553</v>
      </c>
      <c r="D108" s="1">
        <v>0.34</v>
      </c>
      <c r="G108" s="8" t="str">
        <f t="shared" si="7"/>
        <v/>
      </c>
      <c r="H108">
        <f t="shared" si="8"/>
        <v>0</v>
      </c>
      <c r="I108">
        <f t="shared" si="9"/>
        <v>0</v>
      </c>
      <c r="J108">
        <f t="shared" si="10"/>
        <v>0</v>
      </c>
      <c r="K108" s="4">
        <f t="shared" si="13"/>
        <v>354</v>
      </c>
      <c r="L108" t="str">
        <f t="shared" si="11"/>
        <v>Excellent</v>
      </c>
      <c r="M108" t="str">
        <f t="shared" si="12"/>
        <v>Medium Discount</v>
      </c>
    </row>
    <row r="109" spans="1:13" x14ac:dyDescent="0.3">
      <c r="A109" t="s">
        <v>224</v>
      </c>
      <c r="B109" s="4">
        <v>450</v>
      </c>
      <c r="C109" s="4">
        <v>900</v>
      </c>
      <c r="D109" s="1">
        <v>0.02</v>
      </c>
      <c r="E109">
        <v>-1</v>
      </c>
      <c r="F109" t="s">
        <v>225</v>
      </c>
      <c r="G109" s="8">
        <f t="shared" si="7"/>
        <v>2</v>
      </c>
      <c r="H109">
        <f t="shared" si="8"/>
        <v>1</v>
      </c>
      <c r="I109">
        <f t="shared" si="9"/>
        <v>1</v>
      </c>
      <c r="J109">
        <f t="shared" si="10"/>
        <v>1</v>
      </c>
      <c r="K109" s="4">
        <f t="shared" si="13"/>
        <v>450</v>
      </c>
      <c r="L109" t="str">
        <f t="shared" si="11"/>
        <v>Poor</v>
      </c>
      <c r="M109" t="str">
        <f t="shared" si="12"/>
        <v>Low Discount</v>
      </c>
    </row>
    <row r="110" spans="1:13" x14ac:dyDescent="0.3">
      <c r="A110" t="s">
        <v>226</v>
      </c>
      <c r="B110" s="4">
        <v>169</v>
      </c>
      <c r="C110" s="4">
        <v>320</v>
      </c>
      <c r="D110" s="1">
        <v>0.02</v>
      </c>
      <c r="G110" s="8" t="str">
        <f t="shared" si="7"/>
        <v/>
      </c>
      <c r="H110">
        <f t="shared" si="8"/>
        <v>0</v>
      </c>
      <c r="I110">
        <f t="shared" si="9"/>
        <v>0</v>
      </c>
      <c r="J110">
        <f t="shared" si="10"/>
        <v>0</v>
      </c>
      <c r="K110" s="4">
        <f t="shared" si="13"/>
        <v>151</v>
      </c>
      <c r="L110" t="str">
        <f t="shared" si="11"/>
        <v>Excellent</v>
      </c>
      <c r="M110" t="str">
        <f t="shared" si="12"/>
        <v>Low Discount</v>
      </c>
    </row>
    <row r="111" spans="1:13" x14ac:dyDescent="0.3">
      <c r="D111" s="1">
        <v>0.64</v>
      </c>
    </row>
    <row r="112" spans="1:13" x14ac:dyDescent="0.3">
      <c r="D112" s="1">
        <v>0.5</v>
      </c>
    </row>
    <row r="113" spans="4:4" x14ac:dyDescent="0.3">
      <c r="D113" s="1">
        <v>0.47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6CD7-DED1-49E0-BCD7-A953A88C771B}">
  <dimension ref="A3:A4"/>
  <sheetViews>
    <sheetView workbookViewId="0">
      <selection activeCell="A4" sqref="A4"/>
    </sheetView>
  </sheetViews>
  <sheetFormatPr defaultRowHeight="13" x14ac:dyDescent="0.3"/>
  <cols>
    <col min="1" max="1" width="17.36328125" bestFit="1" customWidth="1"/>
  </cols>
  <sheetData>
    <row r="3" spans="1:1" x14ac:dyDescent="0.3">
      <c r="A3" t="s">
        <v>248</v>
      </c>
    </row>
    <row r="4" spans="1:1" x14ac:dyDescent="0.3">
      <c r="A4" s="5">
        <v>0.36956521739130432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88A0-3275-4479-8AE7-28A5432515F7}">
  <dimension ref="A3:B14"/>
  <sheetViews>
    <sheetView workbookViewId="0">
      <selection activeCell="F22" sqref="F22"/>
    </sheetView>
  </sheetViews>
  <sheetFormatPr defaultRowHeight="13" x14ac:dyDescent="0.3"/>
  <cols>
    <col min="1" max="1" width="67.7265625" bestFit="1" customWidth="1"/>
    <col min="2" max="2" width="17.36328125" bestFit="1" customWidth="1"/>
  </cols>
  <sheetData>
    <row r="3" spans="1:2" x14ac:dyDescent="0.3">
      <c r="A3" s="10" t="s">
        <v>239</v>
      </c>
      <c r="B3" t="s">
        <v>248</v>
      </c>
    </row>
    <row r="4" spans="1:2" x14ac:dyDescent="0.3">
      <c r="A4" s="11" t="s">
        <v>53</v>
      </c>
      <c r="B4" s="5">
        <v>0.53</v>
      </c>
    </row>
    <row r="5" spans="1:2" x14ac:dyDescent="0.3">
      <c r="A5" s="11" t="s">
        <v>137</v>
      </c>
      <c r="B5" s="5">
        <v>0.55000000000000004</v>
      </c>
    </row>
    <row r="6" spans="1:2" x14ac:dyDescent="0.3">
      <c r="A6" s="11" t="s">
        <v>222</v>
      </c>
      <c r="B6" s="5">
        <v>0.64</v>
      </c>
    </row>
    <row r="7" spans="1:2" x14ac:dyDescent="0.3">
      <c r="A7" s="11" t="s">
        <v>87</v>
      </c>
      <c r="B7" s="5">
        <v>0.53</v>
      </c>
    </row>
    <row r="8" spans="1:2" x14ac:dyDescent="0.3">
      <c r="A8" s="11" t="s">
        <v>110</v>
      </c>
      <c r="B8" s="5">
        <v>0.55000000000000004</v>
      </c>
    </row>
    <row r="9" spans="1:2" x14ac:dyDescent="0.3">
      <c r="A9" s="11" t="s">
        <v>75</v>
      </c>
      <c r="B9" s="5">
        <v>0.52</v>
      </c>
    </row>
    <row r="10" spans="1:2" x14ac:dyDescent="0.3">
      <c r="A10" s="11" t="s">
        <v>143</v>
      </c>
      <c r="B10" s="5">
        <v>0.52</v>
      </c>
    </row>
    <row r="11" spans="1:2" x14ac:dyDescent="0.3">
      <c r="A11" s="11" t="s">
        <v>63</v>
      </c>
      <c r="B11" s="5">
        <v>0.54</v>
      </c>
    </row>
    <row r="12" spans="1:2" x14ac:dyDescent="0.3">
      <c r="A12" s="11" t="s">
        <v>28</v>
      </c>
      <c r="B12" s="5">
        <v>0.55000000000000004</v>
      </c>
    </row>
    <row r="13" spans="1:2" x14ac:dyDescent="0.3">
      <c r="A13" s="11" t="s">
        <v>134</v>
      </c>
      <c r="B13" s="5">
        <v>0.54</v>
      </c>
    </row>
    <row r="14" spans="1:2" x14ac:dyDescent="0.3">
      <c r="A14" s="11" t="s">
        <v>241</v>
      </c>
      <c r="B14" s="5">
        <v>0.54727272727272724</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9822-F769-4E93-AE51-1DABA68353C2}">
  <dimension ref="A3:B7"/>
  <sheetViews>
    <sheetView workbookViewId="0">
      <selection activeCell="I23" sqref="I23"/>
    </sheetView>
  </sheetViews>
  <sheetFormatPr defaultRowHeight="13" x14ac:dyDescent="0.3"/>
  <cols>
    <col min="1" max="1" width="15.08984375" bestFit="1" customWidth="1"/>
    <col min="2" max="2" width="14.6328125" bestFit="1" customWidth="1"/>
  </cols>
  <sheetData>
    <row r="3" spans="1:2" x14ac:dyDescent="0.3">
      <c r="A3" s="10" t="s">
        <v>239</v>
      </c>
      <c r="B3" t="s">
        <v>253</v>
      </c>
    </row>
    <row r="4" spans="1:2" x14ac:dyDescent="0.3">
      <c r="A4" s="11" t="s">
        <v>242</v>
      </c>
      <c r="B4">
        <v>62</v>
      </c>
    </row>
    <row r="5" spans="1:2" x14ac:dyDescent="0.3">
      <c r="A5" s="11" t="s">
        <v>243</v>
      </c>
      <c r="B5">
        <v>18</v>
      </c>
    </row>
    <row r="6" spans="1:2" x14ac:dyDescent="0.3">
      <c r="A6" s="11" t="s">
        <v>244</v>
      </c>
      <c r="B6">
        <v>32</v>
      </c>
    </row>
    <row r="7" spans="1:2" x14ac:dyDescent="0.3">
      <c r="A7" s="11" t="s">
        <v>241</v>
      </c>
      <c r="B7">
        <v>112</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BAEDD-E56B-4464-8ABC-D05DDB504542}">
  <dimension ref="A1:M115"/>
  <sheetViews>
    <sheetView topLeftCell="G1" workbookViewId="0">
      <pane ySplit="1" topLeftCell="A2" activePane="bottomLeft" state="frozen"/>
      <selection pane="bottomLeft" activeCell="N5" sqref="N5"/>
    </sheetView>
  </sheetViews>
  <sheetFormatPr defaultRowHeight="14" customHeight="1" x14ac:dyDescent="0.3"/>
  <cols>
    <col min="1" max="1" width="88.26953125" bestFit="1" customWidth="1"/>
    <col min="2" max="2" width="18.08984375" style="4" bestFit="1" customWidth="1"/>
    <col min="3" max="3" width="14.36328125" style="4" bestFit="1" customWidth="1"/>
    <col min="4" max="4" width="10.1796875" style="5" bestFit="1" customWidth="1"/>
    <col min="5" max="5" width="9" bestFit="1" customWidth="1"/>
    <col min="6" max="6" width="9.90625" bestFit="1" customWidth="1"/>
    <col min="7" max="7" width="13.81640625" style="8" bestFit="1" customWidth="1"/>
    <col min="8" max="8" width="17.36328125" bestFit="1" customWidth="1"/>
    <col min="9" max="9" width="18.26953125" bestFit="1" customWidth="1"/>
    <col min="10" max="10" width="16.54296875" bestFit="1" customWidth="1"/>
    <col min="11" max="11" width="14.81640625" bestFit="1" customWidth="1"/>
    <col min="12" max="12" width="14" bestFit="1" customWidth="1"/>
    <col min="13" max="13" width="15.81640625" bestFit="1" customWidth="1"/>
  </cols>
  <sheetData>
    <row r="1" spans="1:13" s="2" customFormat="1" ht="13" x14ac:dyDescent="0.3">
      <c r="A1" s="2" t="s">
        <v>0</v>
      </c>
      <c r="B1" s="6" t="s">
        <v>233</v>
      </c>
      <c r="C1" s="6" t="s">
        <v>232</v>
      </c>
      <c r="D1" s="9" t="s">
        <v>3</v>
      </c>
      <c r="E1" s="2" t="s">
        <v>4</v>
      </c>
      <c r="F1" s="2" t="s">
        <v>228</v>
      </c>
      <c r="G1" s="7" t="s">
        <v>229</v>
      </c>
      <c r="H1" s="2" t="s">
        <v>230</v>
      </c>
      <c r="I1" s="2" t="s">
        <v>231</v>
      </c>
      <c r="J1" s="2" t="s">
        <v>234</v>
      </c>
      <c r="K1" s="2" t="s">
        <v>235</v>
      </c>
      <c r="L1" s="2" t="s">
        <v>236</v>
      </c>
      <c r="M1" s="2" t="s">
        <v>237</v>
      </c>
    </row>
    <row r="2" spans="1:13" ht="13" x14ac:dyDescent="0.3">
      <c r="A2" t="s">
        <v>5</v>
      </c>
      <c r="B2" s="4">
        <v>950</v>
      </c>
      <c r="C2" s="4">
        <f>SUM(B2)</f>
        <v>950</v>
      </c>
      <c r="D2" s="1">
        <v>0.38</v>
      </c>
      <c r="E2">
        <v>-2</v>
      </c>
      <c r="F2" t="s">
        <v>7</v>
      </c>
      <c r="G2">
        <f>IF(ISNUMBER(F2), F2, IF(ISBLANK(F2), "", VALUE(LEFT(F2, FIND(" ", F2 &amp; " ")-1))))</f>
        <v>4.5</v>
      </c>
      <c r="H2">
        <f>IF(ISBLANK(F2),0,1)</f>
        <v>1</v>
      </c>
      <c r="I2">
        <f>IF(ISBLANK(E2),0,1)</f>
        <v>1</v>
      </c>
      <c r="J2">
        <f>IFERROR(ABS(E2),"No Review")</f>
        <v>2</v>
      </c>
      <c r="K2" s="4">
        <f>C2-B2</f>
        <v>0</v>
      </c>
      <c r="L2" t="str">
        <f>IF(G2&lt;3,"Poor",IF(G2&lt;=4.4,"Average","Excellent"))</f>
        <v>Excellent</v>
      </c>
      <c r="M2" t="str">
        <f>IF(ISBLANK(D2),"",IF(D2&lt;0.2,"Low Discount",IF(D2&lt;=0.4,"Medium Discount","High Discount")))</f>
        <v>Medium Discount</v>
      </c>
    </row>
    <row r="3" spans="1:13" ht="13" x14ac:dyDescent="0.3">
      <c r="A3" t="s">
        <v>8</v>
      </c>
      <c r="B3" s="4">
        <v>527</v>
      </c>
      <c r="C3" s="4">
        <v>999</v>
      </c>
      <c r="D3" s="1">
        <v>0.38</v>
      </c>
      <c r="E3">
        <v>-14</v>
      </c>
      <c r="F3" t="s">
        <v>10</v>
      </c>
      <c r="G3" s="8">
        <f>IF(ISNUMBER(F3), F3, IF(ISBLANK(F3), "", VALUE(LEFT(F3, FIND(" ", F3 &amp; " ")-1))))</f>
        <v>4.0999999999999996</v>
      </c>
      <c r="H3">
        <f t="shared" ref="H3:H66" si="0">IF(ISBLANK(F3),0,1)</f>
        <v>1</v>
      </c>
      <c r="I3">
        <f t="shared" ref="I3:I66" si="1">IF(ISBLANK(E3),0,1)</f>
        <v>1</v>
      </c>
      <c r="J3">
        <f t="shared" ref="J3:J66" si="2">IFERROR(ABS(E3),"No Review")</f>
        <v>14</v>
      </c>
      <c r="K3" s="4">
        <f>C3-B3</f>
        <v>472</v>
      </c>
      <c r="L3" t="str">
        <f>IF(G3&lt;3,"Poor",IF(G3&lt;=4.4,"Average","Excellent"))</f>
        <v>Average</v>
      </c>
      <c r="M3" t="str">
        <f t="shared" ref="M3:M66" si="3">IF(ISBLANK(D3),"",IF(D3&lt;0.2,"Low Discount",IF(D3&lt;=0.4,"Medium Discount","High Discount")))</f>
        <v>Medium Discount</v>
      </c>
    </row>
    <row r="4" spans="1:13" ht="13" x14ac:dyDescent="0.3">
      <c r="A4" t="s">
        <v>11</v>
      </c>
      <c r="B4" s="4">
        <v>2199</v>
      </c>
      <c r="C4" s="4">
        <v>2923</v>
      </c>
      <c r="D4" s="1">
        <v>0.38</v>
      </c>
      <c r="E4">
        <v>-24</v>
      </c>
      <c r="F4" t="s">
        <v>14</v>
      </c>
      <c r="G4" s="8">
        <f t="shared" ref="G4:G66" si="4">IF(ISNUMBER(F4), F4, IF(ISBLANK(F4), "", VALUE(LEFT(F4, FIND(" ", F4 &amp; " ")-1))))</f>
        <v>4.5999999999999996</v>
      </c>
      <c r="H4">
        <f t="shared" si="0"/>
        <v>1</v>
      </c>
      <c r="I4">
        <f t="shared" si="1"/>
        <v>1</v>
      </c>
      <c r="J4">
        <f t="shared" si="2"/>
        <v>24</v>
      </c>
      <c r="K4" s="4">
        <f>C4-B4</f>
        <v>724</v>
      </c>
      <c r="L4" t="str">
        <f t="shared" ref="L4:L66" si="5">IF(G4&lt;3,"Poor",IF(G4&lt;=4.4,"Average","Excellent"))</f>
        <v>Excellent</v>
      </c>
      <c r="M4" t="str">
        <f t="shared" si="3"/>
        <v>Medium Discount</v>
      </c>
    </row>
    <row r="5" spans="1:13" ht="13" x14ac:dyDescent="0.3">
      <c r="A5" t="s">
        <v>15</v>
      </c>
      <c r="B5" s="4">
        <v>1580</v>
      </c>
      <c r="C5" s="4">
        <v>2499</v>
      </c>
      <c r="D5" s="1">
        <v>0.38</v>
      </c>
      <c r="E5">
        <v>-7</v>
      </c>
      <c r="F5" t="s">
        <v>18</v>
      </c>
      <c r="G5" s="8">
        <f t="shared" si="4"/>
        <v>4.7</v>
      </c>
      <c r="H5">
        <f t="shared" si="0"/>
        <v>1</v>
      </c>
      <c r="I5">
        <f t="shared" si="1"/>
        <v>1</v>
      </c>
      <c r="J5">
        <f t="shared" si="2"/>
        <v>7</v>
      </c>
      <c r="K5" s="4">
        <f t="shared" ref="K5:K68" si="6">C5-B5</f>
        <v>919</v>
      </c>
      <c r="L5" t="str">
        <f t="shared" si="5"/>
        <v>Excellent</v>
      </c>
      <c r="M5" t="str">
        <f t="shared" si="3"/>
        <v>Medium Discount</v>
      </c>
    </row>
    <row r="6" spans="1:13" ht="13" x14ac:dyDescent="0.3">
      <c r="A6" t="s">
        <v>19</v>
      </c>
      <c r="B6" s="4">
        <v>1740</v>
      </c>
      <c r="C6" s="4">
        <v>2356</v>
      </c>
      <c r="D6" s="1">
        <v>0.38</v>
      </c>
      <c r="E6">
        <v>-5</v>
      </c>
      <c r="F6" t="s">
        <v>21</v>
      </c>
      <c r="G6" s="8">
        <f t="shared" si="4"/>
        <v>4.8</v>
      </c>
      <c r="H6">
        <f t="shared" si="0"/>
        <v>1</v>
      </c>
      <c r="I6">
        <f t="shared" si="1"/>
        <v>1</v>
      </c>
      <c r="J6">
        <f t="shared" si="2"/>
        <v>5</v>
      </c>
      <c r="K6" s="4">
        <f t="shared" si="6"/>
        <v>616</v>
      </c>
      <c r="L6" t="str">
        <f t="shared" si="5"/>
        <v>Excellent</v>
      </c>
      <c r="M6" t="str">
        <f t="shared" si="3"/>
        <v>Medium Discount</v>
      </c>
    </row>
    <row r="7" spans="1:13" ht="13" x14ac:dyDescent="0.3">
      <c r="A7" t="s">
        <v>22</v>
      </c>
      <c r="B7" s="4">
        <v>2999</v>
      </c>
      <c r="C7" s="4">
        <v>3290</v>
      </c>
      <c r="D7" s="1">
        <v>0.38</v>
      </c>
      <c r="E7">
        <v>-15</v>
      </c>
      <c r="F7" t="s">
        <v>24</v>
      </c>
      <c r="G7" s="8">
        <f t="shared" si="4"/>
        <v>4</v>
      </c>
      <c r="H7">
        <f t="shared" si="0"/>
        <v>1</v>
      </c>
      <c r="I7">
        <f t="shared" si="1"/>
        <v>1</v>
      </c>
      <c r="J7">
        <f t="shared" si="2"/>
        <v>15</v>
      </c>
      <c r="K7" s="4">
        <f t="shared" si="6"/>
        <v>291</v>
      </c>
      <c r="L7" t="str">
        <f t="shared" si="5"/>
        <v>Average</v>
      </c>
      <c r="M7" t="str">
        <f t="shared" si="3"/>
        <v>Medium Discount</v>
      </c>
    </row>
    <row r="8" spans="1:13" ht="13" x14ac:dyDescent="0.3">
      <c r="A8" t="s">
        <v>25</v>
      </c>
      <c r="B8" s="4">
        <v>2319</v>
      </c>
      <c r="C8" s="4">
        <v>3032</v>
      </c>
      <c r="D8" s="1">
        <v>0.38</v>
      </c>
      <c r="E8">
        <v>-55</v>
      </c>
      <c r="F8" t="s">
        <v>14</v>
      </c>
      <c r="G8" s="8">
        <f t="shared" si="4"/>
        <v>4.5999999999999996</v>
      </c>
      <c r="H8">
        <f t="shared" si="0"/>
        <v>1</v>
      </c>
      <c r="I8">
        <f t="shared" si="1"/>
        <v>1</v>
      </c>
      <c r="J8">
        <f t="shared" si="2"/>
        <v>55</v>
      </c>
      <c r="K8" s="4">
        <f t="shared" si="6"/>
        <v>713</v>
      </c>
      <c r="L8" t="str">
        <f t="shared" si="5"/>
        <v>Excellent</v>
      </c>
      <c r="M8" t="str">
        <f t="shared" si="3"/>
        <v>Medium Discount</v>
      </c>
    </row>
    <row r="9" spans="1:13" ht="13" x14ac:dyDescent="0.3">
      <c r="A9" t="s">
        <v>27</v>
      </c>
      <c r="B9" s="4">
        <v>988</v>
      </c>
      <c r="C9" s="4">
        <v>1580</v>
      </c>
      <c r="D9" s="1">
        <v>0.38</v>
      </c>
      <c r="E9">
        <v>-2</v>
      </c>
      <c r="F9" t="s">
        <v>24</v>
      </c>
      <c r="G9" s="8">
        <f t="shared" si="4"/>
        <v>4</v>
      </c>
      <c r="H9">
        <f t="shared" si="0"/>
        <v>1</v>
      </c>
      <c r="I9">
        <f t="shared" si="1"/>
        <v>1</v>
      </c>
      <c r="J9">
        <f t="shared" si="2"/>
        <v>2</v>
      </c>
      <c r="K9" s="4">
        <f t="shared" si="6"/>
        <v>592</v>
      </c>
      <c r="L9" t="str">
        <f t="shared" si="5"/>
        <v>Average</v>
      </c>
      <c r="M9" t="str">
        <f t="shared" si="3"/>
        <v>Medium Discount</v>
      </c>
    </row>
    <row r="10" spans="1:13" ht="13" x14ac:dyDescent="0.3">
      <c r="A10" t="s">
        <v>28</v>
      </c>
      <c r="B10" s="4">
        <v>1274</v>
      </c>
      <c r="C10" s="4">
        <v>2800</v>
      </c>
      <c r="D10" s="1">
        <v>0.38</v>
      </c>
      <c r="E10">
        <v>-5</v>
      </c>
      <c r="F10" t="s">
        <v>21</v>
      </c>
      <c r="G10" s="8">
        <f t="shared" si="4"/>
        <v>4.8</v>
      </c>
      <c r="H10">
        <f t="shared" si="0"/>
        <v>1</v>
      </c>
      <c r="I10">
        <f t="shared" si="1"/>
        <v>1</v>
      </c>
      <c r="J10">
        <f t="shared" si="2"/>
        <v>5</v>
      </c>
      <c r="K10" s="4">
        <f t="shared" si="6"/>
        <v>1526</v>
      </c>
      <c r="L10" t="str">
        <f t="shared" si="5"/>
        <v>Excellent</v>
      </c>
      <c r="M10" t="str">
        <f t="shared" si="3"/>
        <v>Medium Discount</v>
      </c>
    </row>
    <row r="11" spans="1:13" ht="13" x14ac:dyDescent="0.3">
      <c r="A11" t="s">
        <v>30</v>
      </c>
      <c r="B11" s="4">
        <v>1600</v>
      </c>
      <c r="C11" s="4">
        <v>2929</v>
      </c>
      <c r="D11" s="1">
        <v>0.38</v>
      </c>
      <c r="E11">
        <v>-5</v>
      </c>
      <c r="F11" t="s">
        <v>32</v>
      </c>
      <c r="G11" s="8">
        <f t="shared" si="4"/>
        <v>3.8</v>
      </c>
      <c r="H11">
        <f t="shared" si="0"/>
        <v>1</v>
      </c>
      <c r="I11">
        <f t="shared" si="1"/>
        <v>1</v>
      </c>
      <c r="J11">
        <f t="shared" si="2"/>
        <v>5</v>
      </c>
      <c r="K11" s="4">
        <f t="shared" si="6"/>
        <v>1329</v>
      </c>
      <c r="L11" t="str">
        <f t="shared" si="5"/>
        <v>Average</v>
      </c>
      <c r="M11" t="str">
        <f t="shared" si="3"/>
        <v>Medium Discount</v>
      </c>
    </row>
    <row r="12" spans="1:13" ht="13" x14ac:dyDescent="0.3">
      <c r="A12" t="s">
        <v>33</v>
      </c>
      <c r="B12" s="4">
        <v>799</v>
      </c>
      <c r="C12" s="4">
        <v>999</v>
      </c>
      <c r="D12" s="1">
        <v>0.38</v>
      </c>
      <c r="E12">
        <v>-12</v>
      </c>
      <c r="F12" t="s">
        <v>10</v>
      </c>
      <c r="G12" s="8">
        <f t="shared" si="4"/>
        <v>4.0999999999999996</v>
      </c>
      <c r="H12">
        <f t="shared" si="0"/>
        <v>1</v>
      </c>
      <c r="I12">
        <f t="shared" si="1"/>
        <v>1</v>
      </c>
      <c r="J12">
        <f t="shared" si="2"/>
        <v>12</v>
      </c>
      <c r="K12" s="4">
        <f t="shared" si="6"/>
        <v>200</v>
      </c>
      <c r="L12" t="str">
        <f t="shared" si="5"/>
        <v>Average</v>
      </c>
      <c r="M12" t="str">
        <f t="shared" si="3"/>
        <v>Medium Discount</v>
      </c>
    </row>
    <row r="13" spans="1:13" ht="13" x14ac:dyDescent="0.3">
      <c r="A13" t="s">
        <v>34</v>
      </c>
      <c r="B13" s="4">
        <v>990</v>
      </c>
      <c r="C13" s="4">
        <v>1500</v>
      </c>
      <c r="D13" s="1">
        <v>0.38</v>
      </c>
      <c r="E13">
        <v>-39</v>
      </c>
      <c r="F13" t="s">
        <v>18</v>
      </c>
      <c r="G13" s="8">
        <f t="shared" si="4"/>
        <v>4.7</v>
      </c>
      <c r="H13">
        <f t="shared" si="0"/>
        <v>1</v>
      </c>
      <c r="I13">
        <f t="shared" si="1"/>
        <v>1</v>
      </c>
      <c r="J13">
        <f t="shared" si="2"/>
        <v>39</v>
      </c>
      <c r="K13" s="4">
        <f t="shared" si="6"/>
        <v>510</v>
      </c>
      <c r="L13" t="str">
        <f t="shared" si="5"/>
        <v>Excellent</v>
      </c>
      <c r="M13" t="str">
        <f t="shared" si="3"/>
        <v>Medium Discount</v>
      </c>
    </row>
    <row r="14" spans="1:13" ht="13" x14ac:dyDescent="0.3">
      <c r="A14" t="s">
        <v>36</v>
      </c>
      <c r="B14" s="4">
        <v>552</v>
      </c>
      <c r="C14" s="4">
        <v>1035</v>
      </c>
      <c r="D14" s="1">
        <v>0.38</v>
      </c>
      <c r="E14">
        <v>-12</v>
      </c>
      <c r="F14" t="s">
        <v>21</v>
      </c>
      <c r="G14" s="8">
        <f t="shared" si="4"/>
        <v>4.8</v>
      </c>
      <c r="H14">
        <f t="shared" si="0"/>
        <v>1</v>
      </c>
      <c r="I14">
        <f t="shared" si="1"/>
        <v>1</v>
      </c>
      <c r="J14">
        <f t="shared" si="2"/>
        <v>12</v>
      </c>
      <c r="K14" s="4">
        <f t="shared" si="6"/>
        <v>483</v>
      </c>
      <c r="L14" t="str">
        <f t="shared" si="5"/>
        <v>Excellent</v>
      </c>
      <c r="M14" t="str">
        <f t="shared" si="3"/>
        <v>Medium Discount</v>
      </c>
    </row>
    <row r="15" spans="1:13" ht="13" x14ac:dyDescent="0.3">
      <c r="A15" t="s">
        <v>38</v>
      </c>
      <c r="B15" s="4">
        <v>501</v>
      </c>
      <c r="C15" s="4">
        <v>860</v>
      </c>
      <c r="D15" s="1">
        <v>0.38</v>
      </c>
      <c r="E15">
        <v>-6</v>
      </c>
      <c r="F15" t="s">
        <v>7</v>
      </c>
      <c r="G15" s="8">
        <f t="shared" si="4"/>
        <v>4.5</v>
      </c>
      <c r="H15">
        <f t="shared" si="0"/>
        <v>1</v>
      </c>
      <c r="I15">
        <f t="shared" si="1"/>
        <v>1</v>
      </c>
      <c r="J15">
        <f t="shared" si="2"/>
        <v>6</v>
      </c>
      <c r="K15" s="4">
        <f t="shared" si="6"/>
        <v>359</v>
      </c>
      <c r="L15" t="str">
        <f t="shared" si="5"/>
        <v>Excellent</v>
      </c>
      <c r="M15" t="str">
        <f t="shared" si="3"/>
        <v>Medium Discount</v>
      </c>
    </row>
    <row r="16" spans="1:13" ht="13" x14ac:dyDescent="0.3">
      <c r="A16" t="s">
        <v>40</v>
      </c>
      <c r="B16" s="4">
        <v>1680</v>
      </c>
      <c r="C16" s="4">
        <v>2499</v>
      </c>
      <c r="D16" s="1">
        <v>0.38</v>
      </c>
      <c r="E16">
        <v>-9</v>
      </c>
      <c r="F16" t="s">
        <v>41</v>
      </c>
      <c r="G16" s="8">
        <f t="shared" si="4"/>
        <v>4.2</v>
      </c>
      <c r="H16">
        <f t="shared" si="0"/>
        <v>1</v>
      </c>
      <c r="I16">
        <f t="shared" si="1"/>
        <v>1</v>
      </c>
      <c r="J16">
        <f t="shared" si="2"/>
        <v>9</v>
      </c>
      <c r="K16" s="4">
        <f t="shared" si="6"/>
        <v>819</v>
      </c>
      <c r="L16" t="str">
        <f t="shared" si="5"/>
        <v>Average</v>
      </c>
      <c r="M16" t="str">
        <f t="shared" si="3"/>
        <v>Medium Discount</v>
      </c>
    </row>
    <row r="17" spans="1:13" ht="13" x14ac:dyDescent="0.3">
      <c r="A17" t="s">
        <v>42</v>
      </c>
      <c r="B17" s="4">
        <v>332</v>
      </c>
      <c r="C17" s="4">
        <v>684</v>
      </c>
      <c r="D17" s="1">
        <v>0.38</v>
      </c>
      <c r="E17">
        <v>-2</v>
      </c>
      <c r="F17" t="s">
        <v>44</v>
      </c>
      <c r="G17" s="8">
        <f t="shared" si="4"/>
        <v>5</v>
      </c>
      <c r="H17">
        <f t="shared" si="0"/>
        <v>1</v>
      </c>
      <c r="I17">
        <f t="shared" si="1"/>
        <v>1</v>
      </c>
      <c r="J17">
        <f t="shared" si="2"/>
        <v>2</v>
      </c>
      <c r="K17" s="4">
        <f t="shared" si="6"/>
        <v>352</v>
      </c>
      <c r="L17" t="str">
        <f t="shared" si="5"/>
        <v>Excellent</v>
      </c>
      <c r="M17" t="str">
        <f t="shared" si="3"/>
        <v>Medium Discount</v>
      </c>
    </row>
    <row r="18" spans="1:13" ht="13" x14ac:dyDescent="0.3">
      <c r="A18" t="s">
        <v>45</v>
      </c>
      <c r="B18" s="4">
        <v>195</v>
      </c>
      <c r="C18" s="4">
        <v>360</v>
      </c>
      <c r="D18" s="1">
        <v>0.38</v>
      </c>
      <c r="E18">
        <v>-2</v>
      </c>
      <c r="F18" t="s">
        <v>44</v>
      </c>
      <c r="G18" s="8">
        <f t="shared" si="4"/>
        <v>5</v>
      </c>
      <c r="H18">
        <f t="shared" si="0"/>
        <v>1</v>
      </c>
      <c r="I18">
        <f t="shared" si="1"/>
        <v>1</v>
      </c>
      <c r="J18">
        <f t="shared" si="2"/>
        <v>2</v>
      </c>
      <c r="K18" s="4">
        <f t="shared" si="6"/>
        <v>165</v>
      </c>
      <c r="L18" t="str">
        <f t="shared" si="5"/>
        <v>Excellent</v>
      </c>
      <c r="M18" t="str">
        <f t="shared" si="3"/>
        <v>Medium Discount</v>
      </c>
    </row>
    <row r="19" spans="1:13" ht="13" x14ac:dyDescent="0.3">
      <c r="A19" t="s">
        <v>47</v>
      </c>
      <c r="B19" s="4">
        <v>2025</v>
      </c>
      <c r="C19" s="4">
        <v>3971</v>
      </c>
      <c r="D19" s="1">
        <v>0.38</v>
      </c>
      <c r="E19">
        <v>-3</v>
      </c>
      <c r="F19" t="s">
        <v>44</v>
      </c>
      <c r="G19" s="8">
        <f t="shared" si="4"/>
        <v>5</v>
      </c>
      <c r="H19">
        <f t="shared" si="0"/>
        <v>1</v>
      </c>
      <c r="I19">
        <f t="shared" si="1"/>
        <v>1</v>
      </c>
      <c r="J19">
        <f t="shared" si="2"/>
        <v>3</v>
      </c>
      <c r="K19" s="4">
        <f t="shared" si="6"/>
        <v>1946</v>
      </c>
      <c r="L19" t="str">
        <f t="shared" si="5"/>
        <v>Excellent</v>
      </c>
      <c r="M19" t="str">
        <f t="shared" si="3"/>
        <v>Medium Discount</v>
      </c>
    </row>
    <row r="20" spans="1:13" ht="13" x14ac:dyDescent="0.3">
      <c r="A20" t="s">
        <v>49</v>
      </c>
      <c r="B20" s="4">
        <v>2999</v>
      </c>
      <c r="C20" s="4">
        <v>3699</v>
      </c>
      <c r="D20" s="1">
        <v>0.38</v>
      </c>
      <c r="E20">
        <v>-5</v>
      </c>
      <c r="F20" t="s">
        <v>14</v>
      </c>
      <c r="G20" s="8">
        <f t="shared" si="4"/>
        <v>4.5999999999999996</v>
      </c>
      <c r="H20">
        <f t="shared" si="0"/>
        <v>1</v>
      </c>
      <c r="I20">
        <f t="shared" si="1"/>
        <v>1</v>
      </c>
      <c r="J20">
        <f t="shared" si="2"/>
        <v>5</v>
      </c>
      <c r="K20" s="4">
        <f t="shared" si="6"/>
        <v>700</v>
      </c>
      <c r="L20" t="str">
        <f t="shared" si="5"/>
        <v>Excellent</v>
      </c>
      <c r="M20" t="str">
        <f t="shared" si="3"/>
        <v>Medium Discount</v>
      </c>
    </row>
    <row r="21" spans="1:13" ht="13" x14ac:dyDescent="0.3">
      <c r="A21" t="s">
        <v>51</v>
      </c>
      <c r="B21" s="4">
        <v>998</v>
      </c>
      <c r="C21" s="4">
        <v>1966</v>
      </c>
      <c r="D21" s="1">
        <v>0.38</v>
      </c>
      <c r="E21">
        <v>-44</v>
      </c>
      <c r="F21" t="s">
        <v>14</v>
      </c>
      <c r="G21" s="8">
        <f t="shared" si="4"/>
        <v>4.5999999999999996</v>
      </c>
      <c r="H21">
        <f t="shared" si="0"/>
        <v>1</v>
      </c>
      <c r="I21">
        <f t="shared" si="1"/>
        <v>1</v>
      </c>
      <c r="J21">
        <f t="shared" si="2"/>
        <v>44</v>
      </c>
      <c r="K21" s="4">
        <f t="shared" si="6"/>
        <v>968</v>
      </c>
      <c r="L21" t="str">
        <f t="shared" si="5"/>
        <v>Excellent</v>
      </c>
      <c r="M21" t="str">
        <f t="shared" si="3"/>
        <v>Medium Discount</v>
      </c>
    </row>
    <row r="22" spans="1:13" ht="13" x14ac:dyDescent="0.3">
      <c r="A22" t="s">
        <v>53</v>
      </c>
      <c r="B22" s="4">
        <v>38</v>
      </c>
      <c r="C22" s="4">
        <v>80</v>
      </c>
      <c r="D22" s="1">
        <v>0.38</v>
      </c>
      <c r="E22">
        <v>-13</v>
      </c>
      <c r="F22" t="s">
        <v>55</v>
      </c>
      <c r="G22" s="8">
        <f t="shared" si="4"/>
        <v>3.3</v>
      </c>
      <c r="H22">
        <f t="shared" si="0"/>
        <v>1</v>
      </c>
      <c r="I22">
        <f t="shared" si="1"/>
        <v>1</v>
      </c>
      <c r="J22">
        <f t="shared" si="2"/>
        <v>13</v>
      </c>
      <c r="K22" s="4">
        <f t="shared" si="6"/>
        <v>42</v>
      </c>
      <c r="L22" t="str">
        <f t="shared" si="5"/>
        <v>Average</v>
      </c>
      <c r="M22" t="str">
        <f t="shared" si="3"/>
        <v>Medium Discount</v>
      </c>
    </row>
    <row r="23" spans="1:13" ht="13" x14ac:dyDescent="0.3">
      <c r="A23" t="s">
        <v>56</v>
      </c>
      <c r="B23" s="4">
        <v>1860</v>
      </c>
      <c r="C23" s="4">
        <v>3220</v>
      </c>
      <c r="D23" s="1">
        <v>0.38</v>
      </c>
      <c r="G23" s="8" t="str">
        <f t="shared" si="4"/>
        <v/>
      </c>
      <c r="H23">
        <f t="shared" si="0"/>
        <v>0</v>
      </c>
      <c r="I23">
        <f t="shared" si="1"/>
        <v>0</v>
      </c>
      <c r="J23">
        <f t="shared" si="2"/>
        <v>0</v>
      </c>
      <c r="K23" s="4">
        <f t="shared" si="6"/>
        <v>1360</v>
      </c>
      <c r="L23" t="str">
        <f t="shared" si="5"/>
        <v>Excellent</v>
      </c>
      <c r="M23" t="str">
        <f t="shared" si="3"/>
        <v>Medium Discount</v>
      </c>
    </row>
    <row r="24" spans="1:13" ht="13" x14ac:dyDescent="0.3">
      <c r="A24" t="s">
        <v>58</v>
      </c>
      <c r="B24" s="4">
        <v>880</v>
      </c>
      <c r="C24" s="4">
        <v>1350</v>
      </c>
      <c r="D24" s="1">
        <v>0.38</v>
      </c>
      <c r="E24">
        <v>-6</v>
      </c>
      <c r="F24" t="s">
        <v>24</v>
      </c>
      <c r="G24" s="8">
        <f t="shared" si="4"/>
        <v>4</v>
      </c>
      <c r="H24">
        <f t="shared" si="0"/>
        <v>1</v>
      </c>
      <c r="I24">
        <f t="shared" si="1"/>
        <v>1</v>
      </c>
      <c r="J24">
        <f t="shared" si="2"/>
        <v>6</v>
      </c>
      <c r="K24" s="4">
        <f t="shared" si="6"/>
        <v>470</v>
      </c>
      <c r="L24" t="str">
        <f t="shared" si="5"/>
        <v>Average</v>
      </c>
      <c r="M24" t="str">
        <f t="shared" si="3"/>
        <v>Medium Discount</v>
      </c>
    </row>
    <row r="25" spans="1:13" ht="13" x14ac:dyDescent="0.3">
      <c r="A25" t="s">
        <v>60</v>
      </c>
      <c r="B25" s="4">
        <v>1650</v>
      </c>
      <c r="C25" s="4">
        <v>2150</v>
      </c>
      <c r="D25" s="1">
        <v>0.38</v>
      </c>
      <c r="E25">
        <v>-14</v>
      </c>
      <c r="F25" t="s">
        <v>62</v>
      </c>
      <c r="G25" s="8">
        <f t="shared" si="4"/>
        <v>4.4000000000000004</v>
      </c>
      <c r="H25">
        <f t="shared" si="0"/>
        <v>1</v>
      </c>
      <c r="I25">
        <f t="shared" si="1"/>
        <v>1</v>
      </c>
      <c r="J25">
        <f t="shared" si="2"/>
        <v>14</v>
      </c>
      <c r="K25" s="4">
        <f t="shared" si="6"/>
        <v>500</v>
      </c>
      <c r="L25" t="str">
        <f t="shared" si="5"/>
        <v>Average</v>
      </c>
      <c r="M25" t="str">
        <f t="shared" si="3"/>
        <v>Medium Discount</v>
      </c>
    </row>
    <row r="26" spans="1:13" ht="13" x14ac:dyDescent="0.3">
      <c r="A26" t="s">
        <v>63</v>
      </c>
      <c r="B26" s="4">
        <v>2048</v>
      </c>
      <c r="C26" s="4">
        <v>4500</v>
      </c>
      <c r="D26" s="1">
        <v>0.38</v>
      </c>
      <c r="E26">
        <v>-7</v>
      </c>
      <c r="F26" t="s">
        <v>65</v>
      </c>
      <c r="G26" s="8">
        <f t="shared" si="4"/>
        <v>4.3</v>
      </c>
      <c r="H26">
        <f t="shared" si="0"/>
        <v>1</v>
      </c>
      <c r="I26">
        <f t="shared" si="1"/>
        <v>1</v>
      </c>
      <c r="J26">
        <f t="shared" si="2"/>
        <v>7</v>
      </c>
      <c r="K26" s="4">
        <f t="shared" si="6"/>
        <v>2452</v>
      </c>
      <c r="L26" t="str">
        <f t="shared" si="5"/>
        <v>Average</v>
      </c>
      <c r="M26" t="str">
        <f t="shared" si="3"/>
        <v>Medium Discount</v>
      </c>
    </row>
    <row r="27" spans="1:13" ht="13" x14ac:dyDescent="0.3">
      <c r="A27" t="s">
        <v>66</v>
      </c>
      <c r="B27" s="4">
        <v>420</v>
      </c>
      <c r="C27" s="4">
        <v>647</v>
      </c>
      <c r="D27" s="1">
        <v>0.38</v>
      </c>
      <c r="E27">
        <v>-49</v>
      </c>
      <c r="F27" t="s">
        <v>14</v>
      </c>
      <c r="G27" s="8">
        <f t="shared" si="4"/>
        <v>4.5999999999999996</v>
      </c>
      <c r="H27">
        <f t="shared" si="0"/>
        <v>1</v>
      </c>
      <c r="I27">
        <f t="shared" si="1"/>
        <v>1</v>
      </c>
      <c r="J27">
        <f t="shared" si="2"/>
        <v>49</v>
      </c>
      <c r="K27" s="4">
        <f t="shared" si="6"/>
        <v>227</v>
      </c>
      <c r="L27" t="str">
        <f t="shared" si="5"/>
        <v>Excellent</v>
      </c>
      <c r="M27" t="str">
        <f t="shared" si="3"/>
        <v>Medium Discount</v>
      </c>
    </row>
    <row r="28" spans="1:13" ht="13" x14ac:dyDescent="0.3">
      <c r="A28" t="s">
        <v>68</v>
      </c>
      <c r="B28" s="4">
        <v>2880</v>
      </c>
      <c r="C28" s="4">
        <v>3520</v>
      </c>
      <c r="D28" s="1">
        <v>0.38</v>
      </c>
      <c r="E28">
        <v>-12</v>
      </c>
      <c r="F28" t="s">
        <v>32</v>
      </c>
      <c r="G28" s="8">
        <f t="shared" si="4"/>
        <v>3.8</v>
      </c>
      <c r="H28">
        <f t="shared" si="0"/>
        <v>1</v>
      </c>
      <c r="I28">
        <f t="shared" si="1"/>
        <v>1</v>
      </c>
      <c r="J28">
        <f t="shared" si="2"/>
        <v>12</v>
      </c>
      <c r="K28" s="4">
        <f t="shared" si="6"/>
        <v>640</v>
      </c>
      <c r="L28" t="str">
        <f t="shared" si="5"/>
        <v>Average</v>
      </c>
      <c r="M28" t="str">
        <f t="shared" si="3"/>
        <v>Medium Discount</v>
      </c>
    </row>
    <row r="29" spans="1:13" ht="13" x14ac:dyDescent="0.3">
      <c r="A29" t="s">
        <v>70</v>
      </c>
      <c r="B29" s="4">
        <v>1350</v>
      </c>
      <c r="C29" s="4">
        <v>1990</v>
      </c>
      <c r="D29" s="1">
        <v>0.38</v>
      </c>
      <c r="E29">
        <v>-13</v>
      </c>
      <c r="F29" t="s">
        <v>32</v>
      </c>
      <c r="G29" s="8">
        <f t="shared" si="4"/>
        <v>3.8</v>
      </c>
      <c r="H29">
        <f t="shared" si="0"/>
        <v>1</v>
      </c>
      <c r="I29">
        <f t="shared" si="1"/>
        <v>1</v>
      </c>
      <c r="J29">
        <f t="shared" si="2"/>
        <v>13</v>
      </c>
      <c r="K29" s="4">
        <f t="shared" si="6"/>
        <v>640</v>
      </c>
      <c r="L29" t="str">
        <f t="shared" si="5"/>
        <v>Average</v>
      </c>
      <c r="M29" t="str">
        <f t="shared" si="3"/>
        <v>Medium Discount</v>
      </c>
    </row>
    <row r="30" spans="1:13" ht="13" x14ac:dyDescent="0.3">
      <c r="A30" t="s">
        <v>72</v>
      </c>
      <c r="B30" s="4">
        <v>1758</v>
      </c>
      <c r="C30" s="4">
        <v>2499</v>
      </c>
      <c r="D30" s="1">
        <v>0.38</v>
      </c>
      <c r="E30">
        <v>-20</v>
      </c>
      <c r="F30" t="s">
        <v>10</v>
      </c>
      <c r="G30" s="8">
        <f t="shared" si="4"/>
        <v>4.0999999999999996</v>
      </c>
      <c r="H30">
        <f t="shared" si="0"/>
        <v>1</v>
      </c>
      <c r="I30">
        <f t="shared" si="1"/>
        <v>1</v>
      </c>
      <c r="J30">
        <f t="shared" si="2"/>
        <v>20</v>
      </c>
      <c r="K30" s="4">
        <f t="shared" si="6"/>
        <v>741</v>
      </c>
      <c r="L30" t="str">
        <f t="shared" si="5"/>
        <v>Average</v>
      </c>
      <c r="M30" t="str">
        <f t="shared" si="3"/>
        <v>Medium Discount</v>
      </c>
    </row>
    <row r="31" spans="1:13" ht="13" x14ac:dyDescent="0.3">
      <c r="A31" t="s">
        <v>73</v>
      </c>
      <c r="B31" s="4">
        <v>2200</v>
      </c>
      <c r="C31" s="4">
        <v>4080</v>
      </c>
      <c r="D31" s="1">
        <v>0.38</v>
      </c>
      <c r="G31" s="8" t="str">
        <f t="shared" si="4"/>
        <v/>
      </c>
      <c r="H31">
        <f t="shared" si="0"/>
        <v>0</v>
      </c>
      <c r="I31">
        <f t="shared" si="1"/>
        <v>0</v>
      </c>
      <c r="J31">
        <f t="shared" si="2"/>
        <v>0</v>
      </c>
      <c r="K31" s="4">
        <f t="shared" si="6"/>
        <v>1880</v>
      </c>
      <c r="L31" t="str">
        <f t="shared" si="5"/>
        <v>Excellent</v>
      </c>
      <c r="M31" t="str">
        <f t="shared" si="3"/>
        <v>Medium Discount</v>
      </c>
    </row>
    <row r="32" spans="1:13" ht="13" x14ac:dyDescent="0.3">
      <c r="A32" t="s">
        <v>75</v>
      </c>
      <c r="B32" s="4">
        <v>185</v>
      </c>
      <c r="C32" s="4">
        <v>382</v>
      </c>
      <c r="D32" s="1">
        <v>0.38</v>
      </c>
      <c r="E32">
        <v>-9</v>
      </c>
      <c r="F32" t="s">
        <v>65</v>
      </c>
      <c r="G32" s="8">
        <f t="shared" si="4"/>
        <v>4.3</v>
      </c>
      <c r="H32">
        <f t="shared" si="0"/>
        <v>1</v>
      </c>
      <c r="I32">
        <f t="shared" si="1"/>
        <v>1</v>
      </c>
      <c r="J32">
        <f t="shared" si="2"/>
        <v>9</v>
      </c>
      <c r="K32" s="4">
        <f t="shared" si="6"/>
        <v>197</v>
      </c>
      <c r="L32" t="str">
        <f t="shared" si="5"/>
        <v>Average</v>
      </c>
      <c r="M32" t="str">
        <f t="shared" si="3"/>
        <v>Medium Discount</v>
      </c>
    </row>
    <row r="33" spans="1:13" ht="13" x14ac:dyDescent="0.3">
      <c r="A33" t="s">
        <v>77</v>
      </c>
      <c r="B33" s="4">
        <v>980</v>
      </c>
      <c r="C33" s="4">
        <v>1490</v>
      </c>
      <c r="D33" s="1">
        <v>0.38</v>
      </c>
      <c r="E33">
        <v>-12</v>
      </c>
      <c r="F33" t="s">
        <v>18</v>
      </c>
      <c r="G33" s="8">
        <f t="shared" si="4"/>
        <v>4.7</v>
      </c>
      <c r="H33">
        <f t="shared" si="0"/>
        <v>1</v>
      </c>
      <c r="I33">
        <f t="shared" si="1"/>
        <v>1</v>
      </c>
      <c r="J33">
        <f t="shared" si="2"/>
        <v>12</v>
      </c>
      <c r="K33" s="4">
        <f t="shared" si="6"/>
        <v>510</v>
      </c>
      <c r="L33" t="str">
        <f t="shared" si="5"/>
        <v>Excellent</v>
      </c>
      <c r="M33" t="str">
        <f t="shared" si="3"/>
        <v>Medium Discount</v>
      </c>
    </row>
    <row r="34" spans="1:13" ht="13" x14ac:dyDescent="0.3">
      <c r="A34" t="s">
        <v>79</v>
      </c>
      <c r="B34" s="4">
        <v>1820</v>
      </c>
      <c r="C34" s="4">
        <v>3490</v>
      </c>
      <c r="D34" s="1">
        <v>0.38</v>
      </c>
      <c r="E34">
        <v>-9</v>
      </c>
      <c r="F34" t="s">
        <v>65</v>
      </c>
      <c r="G34" s="8">
        <f t="shared" si="4"/>
        <v>4.3</v>
      </c>
      <c r="H34">
        <f t="shared" si="0"/>
        <v>1</v>
      </c>
      <c r="I34">
        <f t="shared" si="1"/>
        <v>1</v>
      </c>
      <c r="J34">
        <f t="shared" si="2"/>
        <v>9</v>
      </c>
      <c r="K34" s="4">
        <f t="shared" si="6"/>
        <v>1670</v>
      </c>
      <c r="L34" t="str">
        <f t="shared" si="5"/>
        <v>Average</v>
      </c>
      <c r="M34" t="str">
        <f t="shared" si="3"/>
        <v>Medium Discount</v>
      </c>
    </row>
    <row r="35" spans="1:13" ht="13" x14ac:dyDescent="0.3">
      <c r="A35" t="s">
        <v>81</v>
      </c>
      <c r="B35" s="4">
        <v>1940</v>
      </c>
      <c r="C35" s="4">
        <v>2650</v>
      </c>
      <c r="D35" s="1">
        <v>0.38</v>
      </c>
      <c r="E35">
        <v>-20</v>
      </c>
      <c r="F35" t="s">
        <v>18</v>
      </c>
      <c r="G35" s="8">
        <f t="shared" si="4"/>
        <v>4.7</v>
      </c>
      <c r="H35">
        <f t="shared" si="0"/>
        <v>1</v>
      </c>
      <c r="I35">
        <f t="shared" si="1"/>
        <v>1</v>
      </c>
      <c r="J35">
        <f t="shared" si="2"/>
        <v>20</v>
      </c>
      <c r="K35" s="4">
        <f t="shared" si="6"/>
        <v>710</v>
      </c>
      <c r="L35" t="str">
        <f t="shared" si="5"/>
        <v>Excellent</v>
      </c>
      <c r="M35" t="str">
        <f t="shared" si="3"/>
        <v>Medium Discount</v>
      </c>
    </row>
    <row r="36" spans="1:13" ht="13" x14ac:dyDescent="0.3">
      <c r="A36" t="s">
        <v>83</v>
      </c>
      <c r="B36" s="4">
        <v>1980</v>
      </c>
      <c r="C36" s="4">
        <v>2699</v>
      </c>
      <c r="D36" s="1">
        <v>0.38</v>
      </c>
      <c r="E36">
        <v>-32</v>
      </c>
      <c r="F36" t="s">
        <v>7</v>
      </c>
      <c r="G36" s="8">
        <f t="shared" si="4"/>
        <v>4.5</v>
      </c>
      <c r="H36">
        <f t="shared" si="0"/>
        <v>1</v>
      </c>
      <c r="I36">
        <f t="shared" si="1"/>
        <v>1</v>
      </c>
      <c r="J36">
        <f t="shared" si="2"/>
        <v>32</v>
      </c>
      <c r="K36" s="4">
        <f t="shared" si="6"/>
        <v>719</v>
      </c>
      <c r="L36" t="str">
        <f t="shared" si="5"/>
        <v>Excellent</v>
      </c>
      <c r="M36" t="str">
        <f t="shared" si="3"/>
        <v>Medium Discount</v>
      </c>
    </row>
    <row r="37" spans="1:13" ht="13" x14ac:dyDescent="0.3">
      <c r="A37" t="s">
        <v>85</v>
      </c>
      <c r="B37" s="4">
        <v>1620</v>
      </c>
      <c r="C37" s="4">
        <v>2690</v>
      </c>
      <c r="D37" s="1">
        <v>0.38</v>
      </c>
      <c r="E37">
        <v>-1</v>
      </c>
      <c r="F37" t="s">
        <v>44</v>
      </c>
      <c r="G37" s="8">
        <f t="shared" si="4"/>
        <v>5</v>
      </c>
      <c r="H37">
        <f t="shared" si="0"/>
        <v>1</v>
      </c>
      <c r="I37">
        <f t="shared" si="1"/>
        <v>1</v>
      </c>
      <c r="J37">
        <f t="shared" si="2"/>
        <v>1</v>
      </c>
      <c r="K37" s="4">
        <f t="shared" si="6"/>
        <v>1070</v>
      </c>
      <c r="L37" t="str">
        <f t="shared" si="5"/>
        <v>Excellent</v>
      </c>
      <c r="M37" t="str">
        <f t="shared" si="3"/>
        <v>Medium Discount</v>
      </c>
    </row>
    <row r="38" spans="1:13" ht="13" x14ac:dyDescent="0.3">
      <c r="A38" t="s">
        <v>87</v>
      </c>
      <c r="B38" s="4">
        <v>171</v>
      </c>
      <c r="C38" s="4">
        <v>360</v>
      </c>
      <c r="D38" s="1">
        <v>0.38</v>
      </c>
      <c r="E38">
        <v>-2</v>
      </c>
      <c r="F38" t="s">
        <v>44</v>
      </c>
      <c r="G38" s="8">
        <f t="shared" si="4"/>
        <v>5</v>
      </c>
      <c r="H38">
        <f t="shared" si="0"/>
        <v>1</v>
      </c>
      <c r="I38">
        <f t="shared" si="1"/>
        <v>1</v>
      </c>
      <c r="J38">
        <f t="shared" si="2"/>
        <v>2</v>
      </c>
      <c r="K38" s="4">
        <f t="shared" si="6"/>
        <v>189</v>
      </c>
      <c r="L38" t="str">
        <f t="shared" si="5"/>
        <v>Excellent</v>
      </c>
      <c r="M38" t="str">
        <f t="shared" si="3"/>
        <v>Medium Discount</v>
      </c>
    </row>
    <row r="39" spans="1:13" ht="13" x14ac:dyDescent="0.3">
      <c r="A39" t="s">
        <v>88</v>
      </c>
      <c r="B39" s="4">
        <v>389</v>
      </c>
      <c r="C39" s="4">
        <v>656</v>
      </c>
      <c r="D39" s="1">
        <v>0.38</v>
      </c>
      <c r="E39">
        <v>-36</v>
      </c>
      <c r="F39" t="s">
        <v>65</v>
      </c>
      <c r="G39" s="8">
        <f t="shared" si="4"/>
        <v>4.3</v>
      </c>
      <c r="H39">
        <f t="shared" si="0"/>
        <v>1</v>
      </c>
      <c r="I39">
        <f t="shared" si="1"/>
        <v>1</v>
      </c>
      <c r="J39">
        <f t="shared" si="2"/>
        <v>36</v>
      </c>
      <c r="K39" s="4">
        <f t="shared" si="6"/>
        <v>267</v>
      </c>
      <c r="L39" t="str">
        <f t="shared" si="5"/>
        <v>Average</v>
      </c>
      <c r="M39" t="str">
        <f t="shared" si="3"/>
        <v>Medium Discount</v>
      </c>
    </row>
    <row r="40" spans="1:13" ht="13" x14ac:dyDescent="0.3">
      <c r="A40" t="s">
        <v>90</v>
      </c>
      <c r="B40" s="4">
        <v>1800</v>
      </c>
      <c r="C40" s="4">
        <v>2700</v>
      </c>
      <c r="D40" s="1">
        <v>0.38</v>
      </c>
      <c r="E40">
        <v>-2</v>
      </c>
      <c r="F40" t="s">
        <v>7</v>
      </c>
      <c r="G40" s="8">
        <f t="shared" si="4"/>
        <v>4.5</v>
      </c>
      <c r="H40">
        <f t="shared" si="0"/>
        <v>1</v>
      </c>
      <c r="I40">
        <f t="shared" si="1"/>
        <v>1</v>
      </c>
      <c r="J40">
        <f t="shared" si="2"/>
        <v>2</v>
      </c>
      <c r="K40" s="4">
        <f t="shared" si="6"/>
        <v>900</v>
      </c>
      <c r="L40" t="str">
        <f t="shared" si="5"/>
        <v>Excellent</v>
      </c>
      <c r="M40" t="str">
        <f t="shared" si="3"/>
        <v>Medium Discount</v>
      </c>
    </row>
    <row r="41" spans="1:13" ht="13" x14ac:dyDescent="0.3">
      <c r="A41" t="s">
        <v>91</v>
      </c>
      <c r="B41" s="4">
        <v>2750</v>
      </c>
      <c r="C41" s="4">
        <v>4471</v>
      </c>
      <c r="D41" s="1">
        <v>0.38</v>
      </c>
      <c r="G41" s="8" t="str">
        <f t="shared" si="4"/>
        <v/>
      </c>
      <c r="H41">
        <f t="shared" si="0"/>
        <v>0</v>
      </c>
      <c r="I41">
        <f t="shared" si="1"/>
        <v>0</v>
      </c>
      <c r="J41">
        <f t="shared" si="2"/>
        <v>0</v>
      </c>
      <c r="K41" s="4">
        <f t="shared" si="6"/>
        <v>1721</v>
      </c>
      <c r="L41" t="str">
        <f t="shared" si="5"/>
        <v>Excellent</v>
      </c>
      <c r="M41" t="str">
        <f t="shared" si="3"/>
        <v>Medium Discount</v>
      </c>
    </row>
    <row r="42" spans="1:13" ht="13" x14ac:dyDescent="0.3">
      <c r="A42" t="s">
        <v>93</v>
      </c>
      <c r="B42" s="4">
        <v>475</v>
      </c>
      <c r="C42" s="4">
        <v>931</v>
      </c>
      <c r="D42" s="1">
        <v>0.38</v>
      </c>
      <c r="G42" s="8" t="str">
        <f t="shared" si="4"/>
        <v/>
      </c>
      <c r="H42">
        <f t="shared" si="0"/>
        <v>0</v>
      </c>
      <c r="I42">
        <f t="shared" si="1"/>
        <v>0</v>
      </c>
      <c r="J42">
        <f t="shared" si="2"/>
        <v>0</v>
      </c>
      <c r="K42" s="4">
        <f t="shared" si="6"/>
        <v>456</v>
      </c>
      <c r="L42" t="str">
        <f t="shared" si="5"/>
        <v>Excellent</v>
      </c>
      <c r="M42" t="str">
        <f t="shared" si="3"/>
        <v>Medium Discount</v>
      </c>
    </row>
    <row r="43" spans="1:13" ht="13" x14ac:dyDescent="0.3">
      <c r="A43" t="s">
        <v>95</v>
      </c>
      <c r="B43" s="4">
        <v>238</v>
      </c>
      <c r="C43" s="4">
        <v>476</v>
      </c>
      <c r="D43" s="1">
        <v>0.38</v>
      </c>
      <c r="G43" s="8" t="str">
        <f t="shared" si="4"/>
        <v/>
      </c>
      <c r="H43">
        <f t="shared" si="0"/>
        <v>0</v>
      </c>
      <c r="I43">
        <f t="shared" si="1"/>
        <v>0</v>
      </c>
      <c r="J43">
        <f t="shared" si="2"/>
        <v>0</v>
      </c>
      <c r="K43" s="4">
        <f t="shared" si="6"/>
        <v>238</v>
      </c>
      <c r="L43" t="str">
        <f t="shared" si="5"/>
        <v>Excellent</v>
      </c>
      <c r="M43" t="str">
        <f t="shared" si="3"/>
        <v>Medium Discount</v>
      </c>
    </row>
    <row r="44" spans="1:13" ht="13" x14ac:dyDescent="0.3">
      <c r="A44" t="s">
        <v>97</v>
      </c>
      <c r="B44" s="4">
        <v>610</v>
      </c>
      <c r="C44" s="4">
        <v>1060</v>
      </c>
      <c r="D44" s="1">
        <v>0.38</v>
      </c>
      <c r="G44" s="8" t="str">
        <f t="shared" si="4"/>
        <v/>
      </c>
      <c r="H44">
        <f t="shared" si="0"/>
        <v>0</v>
      </c>
      <c r="I44">
        <f t="shared" si="1"/>
        <v>0</v>
      </c>
      <c r="J44">
        <f t="shared" si="2"/>
        <v>0</v>
      </c>
      <c r="K44" s="4">
        <f t="shared" si="6"/>
        <v>450</v>
      </c>
      <c r="L44" t="str">
        <f t="shared" si="5"/>
        <v>Excellent</v>
      </c>
      <c r="M44" t="str">
        <f t="shared" si="3"/>
        <v>Medium Discount</v>
      </c>
    </row>
    <row r="45" spans="1:13" ht="13" x14ac:dyDescent="0.3">
      <c r="A45" t="s">
        <v>99</v>
      </c>
      <c r="B45" s="4">
        <v>2132</v>
      </c>
      <c r="C45" s="4">
        <v>2169</v>
      </c>
      <c r="D45" s="1">
        <v>0.38</v>
      </c>
      <c r="G45" s="8" t="str">
        <f t="shared" si="4"/>
        <v/>
      </c>
      <c r="H45">
        <f t="shared" si="0"/>
        <v>0</v>
      </c>
      <c r="I45">
        <f t="shared" si="1"/>
        <v>0</v>
      </c>
      <c r="J45">
        <f t="shared" si="2"/>
        <v>0</v>
      </c>
      <c r="K45" s="4">
        <f t="shared" si="6"/>
        <v>37</v>
      </c>
      <c r="L45" t="str">
        <f t="shared" si="5"/>
        <v>Excellent</v>
      </c>
      <c r="M45" t="str">
        <f t="shared" si="3"/>
        <v>Medium Discount</v>
      </c>
    </row>
    <row r="46" spans="1:13" ht="13" x14ac:dyDescent="0.3">
      <c r="A46" t="s">
        <v>101</v>
      </c>
      <c r="B46" s="4">
        <v>999</v>
      </c>
      <c r="C46" s="4">
        <v>2000</v>
      </c>
      <c r="D46" s="1">
        <v>0.38</v>
      </c>
      <c r="G46" s="8" t="str">
        <f t="shared" si="4"/>
        <v/>
      </c>
      <c r="H46">
        <f t="shared" si="0"/>
        <v>0</v>
      </c>
      <c r="I46">
        <f t="shared" si="1"/>
        <v>0</v>
      </c>
      <c r="J46">
        <f t="shared" si="2"/>
        <v>0</v>
      </c>
      <c r="K46" s="4">
        <f t="shared" si="6"/>
        <v>1001</v>
      </c>
      <c r="L46" t="str">
        <f t="shared" si="5"/>
        <v>Excellent</v>
      </c>
      <c r="M46" t="str">
        <f t="shared" si="3"/>
        <v>Medium Discount</v>
      </c>
    </row>
    <row r="47" spans="1:13" ht="13" x14ac:dyDescent="0.3">
      <c r="A47" t="s">
        <v>103</v>
      </c>
      <c r="B47" s="4">
        <v>1190</v>
      </c>
      <c r="C47" s="4">
        <v>1785</v>
      </c>
      <c r="D47" s="1">
        <v>0.38</v>
      </c>
      <c r="G47" s="8" t="str">
        <f t="shared" si="4"/>
        <v/>
      </c>
      <c r="H47">
        <f t="shared" si="0"/>
        <v>0</v>
      </c>
      <c r="I47">
        <f t="shared" si="1"/>
        <v>0</v>
      </c>
      <c r="J47">
        <f t="shared" si="2"/>
        <v>0</v>
      </c>
      <c r="K47" s="4">
        <f t="shared" si="6"/>
        <v>595</v>
      </c>
      <c r="L47" t="str">
        <f t="shared" si="5"/>
        <v>Excellent</v>
      </c>
      <c r="M47" t="str">
        <f t="shared" si="3"/>
        <v>Medium Discount</v>
      </c>
    </row>
    <row r="48" spans="1:13" ht="13" x14ac:dyDescent="0.3">
      <c r="A48" t="s">
        <v>105</v>
      </c>
      <c r="B48" s="4">
        <v>671</v>
      </c>
      <c r="C48" s="4">
        <v>1316</v>
      </c>
      <c r="D48" s="1">
        <v>0.38</v>
      </c>
      <c r="G48" s="8" t="str">
        <f t="shared" si="4"/>
        <v/>
      </c>
      <c r="H48">
        <f t="shared" si="0"/>
        <v>0</v>
      </c>
      <c r="I48">
        <f t="shared" si="1"/>
        <v>0</v>
      </c>
      <c r="J48">
        <f t="shared" si="2"/>
        <v>0</v>
      </c>
      <c r="K48" s="4">
        <f t="shared" si="6"/>
        <v>645</v>
      </c>
      <c r="L48" t="str">
        <f t="shared" si="5"/>
        <v>Excellent</v>
      </c>
      <c r="M48" t="str">
        <f t="shared" si="3"/>
        <v>Medium Discount</v>
      </c>
    </row>
    <row r="49" spans="1:13" ht="13" x14ac:dyDescent="0.3">
      <c r="A49" t="s">
        <v>107</v>
      </c>
      <c r="B49" s="4">
        <v>1200</v>
      </c>
      <c r="C49" s="4">
        <v>1950</v>
      </c>
      <c r="D49" s="1">
        <v>0.38</v>
      </c>
      <c r="G49" s="8" t="str">
        <f t="shared" si="4"/>
        <v/>
      </c>
      <c r="H49">
        <f t="shared" si="0"/>
        <v>0</v>
      </c>
      <c r="I49">
        <f t="shared" si="1"/>
        <v>0</v>
      </c>
      <c r="J49">
        <f t="shared" si="2"/>
        <v>0</v>
      </c>
      <c r="K49" s="4">
        <f t="shared" si="6"/>
        <v>750</v>
      </c>
      <c r="L49" t="str">
        <f t="shared" si="5"/>
        <v>Excellent</v>
      </c>
      <c r="M49" t="str">
        <f t="shared" si="3"/>
        <v>Medium Discount</v>
      </c>
    </row>
    <row r="50" spans="1:13" ht="13" x14ac:dyDescent="0.3">
      <c r="A50" t="s">
        <v>110</v>
      </c>
      <c r="B50" s="4">
        <v>199</v>
      </c>
      <c r="C50" s="4">
        <v>504</v>
      </c>
      <c r="D50" s="1">
        <v>0.38</v>
      </c>
      <c r="G50" s="8" t="str">
        <f t="shared" si="4"/>
        <v/>
      </c>
      <c r="H50">
        <f t="shared" si="0"/>
        <v>0</v>
      </c>
      <c r="I50">
        <f t="shared" si="1"/>
        <v>0</v>
      </c>
      <c r="J50">
        <f t="shared" si="2"/>
        <v>0</v>
      </c>
      <c r="K50" s="4">
        <f t="shared" si="6"/>
        <v>305</v>
      </c>
      <c r="L50" t="str">
        <f t="shared" si="5"/>
        <v>Excellent</v>
      </c>
      <c r="M50" t="str">
        <f t="shared" si="3"/>
        <v>Medium Discount</v>
      </c>
    </row>
    <row r="51" spans="1:13" ht="13" x14ac:dyDescent="0.3">
      <c r="A51" t="s">
        <v>112</v>
      </c>
      <c r="B51" s="4">
        <v>299</v>
      </c>
      <c r="C51" s="4">
        <v>600</v>
      </c>
      <c r="D51" s="1">
        <v>0.38</v>
      </c>
      <c r="G51" s="8" t="str">
        <f t="shared" si="4"/>
        <v/>
      </c>
      <c r="H51">
        <f t="shared" si="0"/>
        <v>0</v>
      </c>
      <c r="I51">
        <f t="shared" si="1"/>
        <v>0</v>
      </c>
      <c r="J51">
        <f t="shared" si="2"/>
        <v>0</v>
      </c>
      <c r="K51" s="4">
        <f t="shared" si="6"/>
        <v>301</v>
      </c>
      <c r="L51" t="str">
        <f t="shared" si="5"/>
        <v>Excellent</v>
      </c>
      <c r="M51" t="str">
        <f t="shared" si="3"/>
        <v>Medium Discount</v>
      </c>
    </row>
    <row r="52" spans="1:13" ht="13" x14ac:dyDescent="0.3">
      <c r="A52" t="s">
        <v>114</v>
      </c>
      <c r="B52" s="4">
        <v>1660</v>
      </c>
      <c r="C52" s="4">
        <v>1699</v>
      </c>
      <c r="D52" s="1">
        <v>0.38</v>
      </c>
      <c r="G52" s="8" t="str">
        <f t="shared" si="4"/>
        <v/>
      </c>
      <c r="H52">
        <f t="shared" si="0"/>
        <v>0</v>
      </c>
      <c r="I52">
        <f t="shared" si="1"/>
        <v>0</v>
      </c>
      <c r="J52">
        <f t="shared" si="2"/>
        <v>0</v>
      </c>
      <c r="K52" s="4">
        <f t="shared" si="6"/>
        <v>39</v>
      </c>
      <c r="L52" t="str">
        <f t="shared" si="5"/>
        <v>Excellent</v>
      </c>
      <c r="M52" t="str">
        <f t="shared" si="3"/>
        <v>Medium Discount</v>
      </c>
    </row>
    <row r="53" spans="1:13" ht="13" x14ac:dyDescent="0.3">
      <c r="A53" t="s">
        <v>117</v>
      </c>
      <c r="B53" s="4">
        <v>299</v>
      </c>
      <c r="C53" s="4">
        <v>384</v>
      </c>
      <c r="D53" s="1">
        <v>0.38</v>
      </c>
      <c r="G53" s="8" t="str">
        <f t="shared" si="4"/>
        <v/>
      </c>
      <c r="H53">
        <f t="shared" si="0"/>
        <v>0</v>
      </c>
      <c r="I53">
        <f t="shared" si="1"/>
        <v>0</v>
      </c>
      <c r="J53">
        <f t="shared" si="2"/>
        <v>0</v>
      </c>
      <c r="K53" s="4">
        <f t="shared" si="6"/>
        <v>85</v>
      </c>
      <c r="L53" t="str">
        <f t="shared" si="5"/>
        <v>Excellent</v>
      </c>
      <c r="M53" t="str">
        <f t="shared" si="3"/>
        <v>Medium Discount</v>
      </c>
    </row>
    <row r="54" spans="1:13" ht="13" x14ac:dyDescent="0.3">
      <c r="A54" t="s">
        <v>119</v>
      </c>
      <c r="B54" s="4">
        <v>1459</v>
      </c>
      <c r="C54" s="4">
        <v>1499</v>
      </c>
      <c r="D54" s="1">
        <v>0.38</v>
      </c>
      <c r="G54" s="8" t="str">
        <f t="shared" si="4"/>
        <v/>
      </c>
      <c r="H54">
        <f t="shared" si="0"/>
        <v>0</v>
      </c>
      <c r="I54">
        <f t="shared" si="1"/>
        <v>0</v>
      </c>
      <c r="J54">
        <f t="shared" si="2"/>
        <v>0</v>
      </c>
      <c r="K54" s="4">
        <f t="shared" si="6"/>
        <v>40</v>
      </c>
      <c r="L54" t="str">
        <f t="shared" si="5"/>
        <v>Excellent</v>
      </c>
      <c r="M54" t="str">
        <f t="shared" si="3"/>
        <v>Medium Discount</v>
      </c>
    </row>
    <row r="55" spans="1:13" ht="13" x14ac:dyDescent="0.3">
      <c r="A55" t="s">
        <v>121</v>
      </c>
      <c r="B55" s="4">
        <v>799</v>
      </c>
      <c r="C55" s="4">
        <v>1343</v>
      </c>
      <c r="D55" s="1">
        <v>0.38</v>
      </c>
      <c r="G55" s="8" t="str">
        <f t="shared" si="4"/>
        <v/>
      </c>
      <c r="H55">
        <f t="shared" si="0"/>
        <v>0</v>
      </c>
      <c r="I55">
        <f t="shared" si="1"/>
        <v>0</v>
      </c>
      <c r="J55">
        <f t="shared" si="2"/>
        <v>0</v>
      </c>
      <c r="K55" s="4">
        <f t="shared" si="6"/>
        <v>544</v>
      </c>
      <c r="L55" t="str">
        <f t="shared" si="5"/>
        <v>Excellent</v>
      </c>
      <c r="M55" t="str">
        <f t="shared" si="3"/>
        <v>Medium Discount</v>
      </c>
    </row>
    <row r="56" spans="1:13" ht="13" x14ac:dyDescent="0.3">
      <c r="A56" t="s">
        <v>123</v>
      </c>
      <c r="B56" s="4">
        <v>499</v>
      </c>
      <c r="C56" s="4">
        <v>900</v>
      </c>
      <c r="D56" s="1">
        <v>0.38</v>
      </c>
      <c r="G56" s="8" t="str">
        <f t="shared" si="4"/>
        <v/>
      </c>
      <c r="H56">
        <f t="shared" si="0"/>
        <v>0</v>
      </c>
      <c r="I56">
        <f t="shared" si="1"/>
        <v>0</v>
      </c>
      <c r="J56">
        <f t="shared" si="2"/>
        <v>0</v>
      </c>
      <c r="K56" s="4">
        <f t="shared" si="6"/>
        <v>401</v>
      </c>
      <c r="L56" t="str">
        <f t="shared" si="5"/>
        <v>Excellent</v>
      </c>
      <c r="M56" t="str">
        <f t="shared" si="3"/>
        <v>Medium Discount</v>
      </c>
    </row>
    <row r="57" spans="1:13" ht="13" x14ac:dyDescent="0.3">
      <c r="A57" t="s">
        <v>125</v>
      </c>
      <c r="B57" s="4">
        <v>699</v>
      </c>
      <c r="C57" s="4">
        <v>1343</v>
      </c>
      <c r="D57" s="1">
        <v>0.38</v>
      </c>
      <c r="G57" s="8" t="str">
        <f t="shared" si="4"/>
        <v/>
      </c>
      <c r="H57">
        <f t="shared" si="0"/>
        <v>0</v>
      </c>
      <c r="I57">
        <f t="shared" si="1"/>
        <v>0</v>
      </c>
      <c r="J57">
        <f t="shared" si="2"/>
        <v>0</v>
      </c>
      <c r="K57" s="4">
        <f t="shared" si="6"/>
        <v>644</v>
      </c>
      <c r="L57" t="str">
        <f t="shared" si="5"/>
        <v>Excellent</v>
      </c>
      <c r="M57" t="str">
        <f t="shared" si="3"/>
        <v>Medium Discount</v>
      </c>
    </row>
    <row r="58" spans="1:13" ht="13" x14ac:dyDescent="0.3">
      <c r="A58" t="s">
        <v>126</v>
      </c>
      <c r="B58" s="4">
        <v>799</v>
      </c>
      <c r="C58" s="4">
        <v>1567</v>
      </c>
      <c r="D58" s="1">
        <v>0.38</v>
      </c>
      <c r="G58" s="8" t="str">
        <f t="shared" si="4"/>
        <v/>
      </c>
      <c r="H58">
        <f t="shared" si="0"/>
        <v>0</v>
      </c>
      <c r="I58">
        <f t="shared" si="1"/>
        <v>0</v>
      </c>
      <c r="J58">
        <f t="shared" si="2"/>
        <v>0</v>
      </c>
      <c r="K58" s="4">
        <f t="shared" si="6"/>
        <v>768</v>
      </c>
      <c r="L58" t="str">
        <f t="shared" si="5"/>
        <v>Excellent</v>
      </c>
      <c r="M58" t="str">
        <f t="shared" si="3"/>
        <v>Medium Discount</v>
      </c>
    </row>
    <row r="59" spans="1:13" ht="13" x14ac:dyDescent="0.3">
      <c r="A59" t="s">
        <v>128</v>
      </c>
      <c r="B59" s="4">
        <v>2799</v>
      </c>
      <c r="C59" s="4">
        <v>3810</v>
      </c>
      <c r="D59" s="1">
        <v>0.38</v>
      </c>
      <c r="G59" s="8" t="str">
        <f t="shared" si="4"/>
        <v/>
      </c>
      <c r="H59">
        <f t="shared" si="0"/>
        <v>0</v>
      </c>
      <c r="I59">
        <f t="shared" si="1"/>
        <v>0</v>
      </c>
      <c r="J59">
        <f t="shared" si="2"/>
        <v>0</v>
      </c>
      <c r="K59" s="4">
        <f t="shared" si="6"/>
        <v>1011</v>
      </c>
      <c r="L59" t="str">
        <f t="shared" si="5"/>
        <v>Excellent</v>
      </c>
      <c r="M59" t="str">
        <f t="shared" si="3"/>
        <v>Medium Discount</v>
      </c>
    </row>
    <row r="60" spans="1:13" ht="13" x14ac:dyDescent="0.3">
      <c r="A60" t="s">
        <v>131</v>
      </c>
      <c r="B60" s="4">
        <v>2170</v>
      </c>
      <c r="C60" s="4">
        <v>2500</v>
      </c>
      <c r="D60" s="1">
        <v>0.38</v>
      </c>
      <c r="E60">
        <v>-6</v>
      </c>
      <c r="F60" t="s">
        <v>133</v>
      </c>
      <c r="G60" s="8">
        <f t="shared" si="4"/>
        <v>2.5</v>
      </c>
      <c r="H60">
        <f t="shared" si="0"/>
        <v>1</v>
      </c>
      <c r="I60">
        <f t="shared" si="1"/>
        <v>1</v>
      </c>
      <c r="J60">
        <f t="shared" si="2"/>
        <v>6</v>
      </c>
      <c r="K60" s="4">
        <f t="shared" si="6"/>
        <v>330</v>
      </c>
      <c r="L60" t="str">
        <f t="shared" si="5"/>
        <v>Poor</v>
      </c>
      <c r="M60" t="str">
        <f t="shared" si="3"/>
        <v>Medium Discount</v>
      </c>
    </row>
    <row r="61" spans="1:13" ht="13" x14ac:dyDescent="0.3">
      <c r="A61" t="s">
        <v>134</v>
      </c>
      <c r="B61" s="4">
        <v>458</v>
      </c>
      <c r="C61" s="4">
        <v>986</v>
      </c>
      <c r="D61" s="1">
        <v>0.38</v>
      </c>
      <c r="E61">
        <v>-10</v>
      </c>
      <c r="F61" t="s">
        <v>136</v>
      </c>
      <c r="G61" s="8">
        <f t="shared" si="4"/>
        <v>3</v>
      </c>
      <c r="H61">
        <f t="shared" si="0"/>
        <v>1</v>
      </c>
      <c r="I61">
        <f t="shared" si="1"/>
        <v>1</v>
      </c>
      <c r="J61">
        <f t="shared" si="2"/>
        <v>10</v>
      </c>
      <c r="K61" s="4">
        <f t="shared" si="6"/>
        <v>528</v>
      </c>
      <c r="L61" t="str">
        <f t="shared" si="5"/>
        <v>Average</v>
      </c>
      <c r="M61" t="str">
        <f t="shared" si="3"/>
        <v>Medium Discount</v>
      </c>
    </row>
    <row r="62" spans="1:13" ht="13" x14ac:dyDescent="0.3">
      <c r="A62" t="s">
        <v>137</v>
      </c>
      <c r="B62" s="4">
        <v>2115</v>
      </c>
      <c r="C62" s="4">
        <v>4700</v>
      </c>
      <c r="D62" s="1">
        <v>0.38</v>
      </c>
      <c r="E62">
        <v>-13</v>
      </c>
      <c r="F62" t="s">
        <v>139</v>
      </c>
      <c r="G62" s="8">
        <f t="shared" si="4"/>
        <v>2.1</v>
      </c>
      <c r="H62">
        <f t="shared" si="0"/>
        <v>1</v>
      </c>
      <c r="I62">
        <f t="shared" si="1"/>
        <v>1</v>
      </c>
      <c r="J62">
        <f t="shared" si="2"/>
        <v>13</v>
      </c>
      <c r="K62" s="4">
        <f t="shared" si="6"/>
        <v>2585</v>
      </c>
      <c r="L62" t="str">
        <f t="shared" si="5"/>
        <v>Poor</v>
      </c>
      <c r="M62" t="str">
        <f t="shared" si="3"/>
        <v>Medium Discount</v>
      </c>
    </row>
    <row r="63" spans="1:13" ht="13" x14ac:dyDescent="0.3">
      <c r="A63" t="s">
        <v>140</v>
      </c>
      <c r="B63" s="4">
        <v>445</v>
      </c>
      <c r="C63" s="4">
        <v>873</v>
      </c>
      <c r="D63" s="1">
        <v>0.38</v>
      </c>
      <c r="E63">
        <v>-69</v>
      </c>
      <c r="F63" t="s">
        <v>142</v>
      </c>
      <c r="G63" s="8">
        <f t="shared" si="4"/>
        <v>2.8</v>
      </c>
      <c r="H63">
        <f t="shared" si="0"/>
        <v>1</v>
      </c>
      <c r="I63">
        <f t="shared" si="1"/>
        <v>1</v>
      </c>
      <c r="J63">
        <f t="shared" si="2"/>
        <v>69</v>
      </c>
      <c r="K63" s="4">
        <f t="shared" si="6"/>
        <v>428</v>
      </c>
      <c r="L63" t="str">
        <f t="shared" si="5"/>
        <v>Poor</v>
      </c>
      <c r="M63" t="str">
        <f t="shared" si="3"/>
        <v>Medium Discount</v>
      </c>
    </row>
    <row r="64" spans="1:13" ht="13" x14ac:dyDescent="0.3">
      <c r="A64" t="s">
        <v>143</v>
      </c>
      <c r="B64" s="4">
        <v>325</v>
      </c>
      <c r="C64" s="4">
        <v>680</v>
      </c>
      <c r="D64" s="1">
        <v>0.38</v>
      </c>
      <c r="E64">
        <v>-15</v>
      </c>
      <c r="F64" t="s">
        <v>145</v>
      </c>
      <c r="G64" s="8">
        <f t="shared" si="4"/>
        <v>2.7</v>
      </c>
      <c r="H64">
        <f t="shared" si="0"/>
        <v>1</v>
      </c>
      <c r="I64">
        <f t="shared" si="1"/>
        <v>1</v>
      </c>
      <c r="J64">
        <f t="shared" si="2"/>
        <v>15</v>
      </c>
      <c r="K64" s="4">
        <f t="shared" si="6"/>
        <v>355</v>
      </c>
      <c r="L64" t="str">
        <f t="shared" si="5"/>
        <v>Poor</v>
      </c>
      <c r="M64" t="str">
        <f t="shared" si="3"/>
        <v>Medium Discount</v>
      </c>
    </row>
    <row r="65" spans="1:13" ht="13" x14ac:dyDescent="0.3">
      <c r="A65" t="s">
        <v>146</v>
      </c>
      <c r="B65" s="4">
        <v>1220</v>
      </c>
      <c r="C65" s="4">
        <v>1555</v>
      </c>
      <c r="D65" s="1">
        <v>0.38</v>
      </c>
      <c r="E65">
        <v>-16</v>
      </c>
      <c r="F65" t="s">
        <v>148</v>
      </c>
      <c r="G65" s="8">
        <f t="shared" si="4"/>
        <v>2.9</v>
      </c>
      <c r="H65">
        <f t="shared" si="0"/>
        <v>1</v>
      </c>
      <c r="I65">
        <f t="shared" si="1"/>
        <v>1</v>
      </c>
      <c r="J65">
        <f t="shared" si="2"/>
        <v>16</v>
      </c>
      <c r="K65" s="4">
        <f t="shared" si="6"/>
        <v>335</v>
      </c>
      <c r="L65" t="str">
        <f t="shared" si="5"/>
        <v>Poor</v>
      </c>
      <c r="M65" t="str">
        <f t="shared" si="3"/>
        <v>Medium Discount</v>
      </c>
    </row>
    <row r="66" spans="1:13" ht="13" x14ac:dyDescent="0.3">
      <c r="A66" t="s">
        <v>149</v>
      </c>
      <c r="B66" s="4">
        <v>990</v>
      </c>
      <c r="C66" s="4">
        <v>1814</v>
      </c>
      <c r="D66" s="1">
        <v>0.38</v>
      </c>
      <c r="E66">
        <v>-6</v>
      </c>
      <c r="F66" t="s">
        <v>151</v>
      </c>
      <c r="G66" s="8">
        <f t="shared" si="4"/>
        <v>2.2000000000000002</v>
      </c>
      <c r="H66">
        <f t="shared" si="0"/>
        <v>1</v>
      </c>
      <c r="I66">
        <f t="shared" si="1"/>
        <v>1</v>
      </c>
      <c r="J66">
        <f t="shared" si="2"/>
        <v>6</v>
      </c>
      <c r="K66" s="4">
        <f t="shared" si="6"/>
        <v>824</v>
      </c>
      <c r="L66" t="str">
        <f t="shared" si="5"/>
        <v>Poor</v>
      </c>
      <c r="M66" t="str">
        <f t="shared" si="3"/>
        <v>Medium Discount</v>
      </c>
    </row>
    <row r="67" spans="1:13" ht="13" x14ac:dyDescent="0.3">
      <c r="A67" t="s">
        <v>152</v>
      </c>
      <c r="B67" s="4">
        <v>1000</v>
      </c>
      <c r="C67" s="4">
        <v>2000</v>
      </c>
      <c r="D67" s="1">
        <v>0.38</v>
      </c>
      <c r="E67">
        <v>-7</v>
      </c>
      <c r="F67" t="s">
        <v>153</v>
      </c>
      <c r="G67" s="8">
        <f t="shared" ref="G67:G110" si="7">IF(ISNUMBER(F67), F67, IF(ISBLANK(F67), "", VALUE(LEFT(F67, FIND(" ", F67 &amp; " ")-1))))</f>
        <v>2.2999999999999998</v>
      </c>
      <c r="H67">
        <f t="shared" ref="H67:H110" si="8">IF(ISBLANK(F67),0,1)</f>
        <v>1</v>
      </c>
      <c r="I67">
        <f t="shared" ref="I67:I110" si="9">IF(ISBLANK(E67),0,1)</f>
        <v>1</v>
      </c>
      <c r="J67">
        <f t="shared" ref="J67:J110" si="10">IFERROR(ABS(E67),"No Review")</f>
        <v>7</v>
      </c>
      <c r="K67" s="4">
        <f t="shared" si="6"/>
        <v>1000</v>
      </c>
      <c r="L67" t="str">
        <f t="shared" ref="L67:L110" si="11">IF(G67&lt;3,"Poor",IF(G67&lt;=4.4,"Average","Excellent"))</f>
        <v>Poor</v>
      </c>
      <c r="M67" t="str">
        <f t="shared" ref="M67:M110" si="12">IF(ISBLANK(D67),"",IF(D67&lt;0.2,"Low Discount",IF(D67&lt;=0.4,"Medium Discount","High Discount")))</f>
        <v>Medium Discount</v>
      </c>
    </row>
    <row r="68" spans="1:13" ht="13" x14ac:dyDescent="0.3">
      <c r="A68" t="s">
        <v>154</v>
      </c>
      <c r="B68" s="4">
        <v>3750</v>
      </c>
      <c r="C68" s="4">
        <v>6143</v>
      </c>
      <c r="D68" s="1">
        <v>0.38</v>
      </c>
      <c r="E68">
        <v>-5</v>
      </c>
      <c r="F68" t="s">
        <v>136</v>
      </c>
      <c r="G68" s="8">
        <f t="shared" si="7"/>
        <v>3</v>
      </c>
      <c r="H68">
        <f t="shared" si="8"/>
        <v>1</v>
      </c>
      <c r="I68">
        <f t="shared" si="9"/>
        <v>1</v>
      </c>
      <c r="J68">
        <f t="shared" si="10"/>
        <v>5</v>
      </c>
      <c r="K68" s="4">
        <f t="shared" si="6"/>
        <v>2393</v>
      </c>
      <c r="L68" t="str">
        <f t="shared" si="11"/>
        <v>Average</v>
      </c>
      <c r="M68" t="str">
        <f t="shared" si="12"/>
        <v>Medium Discount</v>
      </c>
    </row>
    <row r="69" spans="1:13" ht="13" x14ac:dyDescent="0.3">
      <c r="A69" t="s">
        <v>156</v>
      </c>
      <c r="B69" s="4">
        <v>382</v>
      </c>
      <c r="C69" s="4">
        <v>700</v>
      </c>
      <c r="D69" s="1">
        <v>0.38</v>
      </c>
      <c r="E69">
        <v>-17</v>
      </c>
      <c r="F69" t="s">
        <v>158</v>
      </c>
      <c r="G69" s="8">
        <f t="shared" si="7"/>
        <v>2.6</v>
      </c>
      <c r="H69">
        <f t="shared" si="8"/>
        <v>1</v>
      </c>
      <c r="I69">
        <f t="shared" si="9"/>
        <v>1</v>
      </c>
      <c r="J69">
        <f t="shared" si="10"/>
        <v>17</v>
      </c>
      <c r="K69" s="4">
        <f t="shared" ref="K69:K110" si="13">C69-B69</f>
        <v>318</v>
      </c>
      <c r="L69" t="str">
        <f t="shared" si="11"/>
        <v>Poor</v>
      </c>
      <c r="M69" t="str">
        <f t="shared" si="12"/>
        <v>Medium Discount</v>
      </c>
    </row>
    <row r="70" spans="1:13" ht="13" x14ac:dyDescent="0.3">
      <c r="A70" t="s">
        <v>159</v>
      </c>
      <c r="B70" s="4">
        <v>2300</v>
      </c>
      <c r="C70" s="4">
        <v>3240</v>
      </c>
      <c r="D70" s="1">
        <v>0.38</v>
      </c>
      <c r="E70">
        <v>-5</v>
      </c>
      <c r="F70" t="s">
        <v>136</v>
      </c>
      <c r="G70" s="8">
        <f t="shared" si="7"/>
        <v>3</v>
      </c>
      <c r="H70">
        <f t="shared" si="8"/>
        <v>1</v>
      </c>
      <c r="I70">
        <f t="shared" si="9"/>
        <v>1</v>
      </c>
      <c r="J70">
        <f t="shared" si="10"/>
        <v>5</v>
      </c>
      <c r="K70" s="4">
        <f t="shared" si="13"/>
        <v>940</v>
      </c>
      <c r="L70" t="str">
        <f t="shared" si="11"/>
        <v>Average</v>
      </c>
      <c r="M70" t="str">
        <f t="shared" si="12"/>
        <v>Medium Discount</v>
      </c>
    </row>
    <row r="71" spans="1:13" ht="13" x14ac:dyDescent="0.3">
      <c r="A71" t="s">
        <v>161</v>
      </c>
      <c r="B71" s="4">
        <v>345</v>
      </c>
      <c r="C71" s="4">
        <v>602</v>
      </c>
      <c r="D71" s="1">
        <v>0.38</v>
      </c>
      <c r="E71">
        <v>-6</v>
      </c>
      <c r="F71" t="s">
        <v>153</v>
      </c>
      <c r="G71" s="8">
        <f t="shared" si="7"/>
        <v>2.2999999999999998</v>
      </c>
      <c r="H71">
        <f t="shared" si="8"/>
        <v>1</v>
      </c>
      <c r="I71">
        <f t="shared" si="9"/>
        <v>1</v>
      </c>
      <c r="J71">
        <f t="shared" si="10"/>
        <v>6</v>
      </c>
      <c r="K71" s="4">
        <f t="shared" si="13"/>
        <v>257</v>
      </c>
      <c r="L71" t="str">
        <f t="shared" si="11"/>
        <v>Poor</v>
      </c>
      <c r="M71" t="str">
        <f t="shared" si="12"/>
        <v>Medium Discount</v>
      </c>
    </row>
    <row r="72" spans="1:13" ht="13" x14ac:dyDescent="0.3">
      <c r="A72" t="s">
        <v>164</v>
      </c>
      <c r="B72" s="4">
        <v>509</v>
      </c>
      <c r="C72" s="4">
        <v>899</v>
      </c>
      <c r="D72" s="1">
        <v>0.38</v>
      </c>
      <c r="E72">
        <v>-5</v>
      </c>
      <c r="F72" t="s">
        <v>136</v>
      </c>
      <c r="G72" s="8">
        <f t="shared" si="7"/>
        <v>3</v>
      </c>
      <c r="H72">
        <f t="shared" si="8"/>
        <v>1</v>
      </c>
      <c r="I72">
        <f t="shared" si="9"/>
        <v>1</v>
      </c>
      <c r="J72">
        <f t="shared" si="10"/>
        <v>5</v>
      </c>
      <c r="K72" s="4">
        <f t="shared" si="13"/>
        <v>390</v>
      </c>
      <c r="L72" t="str">
        <f t="shared" si="11"/>
        <v>Average</v>
      </c>
      <c r="M72" t="str">
        <f t="shared" si="12"/>
        <v>Medium Discount</v>
      </c>
    </row>
    <row r="73" spans="1:13" ht="13" x14ac:dyDescent="0.3">
      <c r="A73" t="s">
        <v>166</v>
      </c>
      <c r="B73" s="4">
        <v>968</v>
      </c>
      <c r="C73" s="4">
        <v>1814</v>
      </c>
      <c r="D73" s="1">
        <v>0.38</v>
      </c>
      <c r="E73">
        <v>-6</v>
      </c>
      <c r="F73" t="s">
        <v>151</v>
      </c>
      <c r="G73" s="8">
        <f t="shared" si="7"/>
        <v>2.2000000000000002</v>
      </c>
      <c r="H73">
        <f t="shared" si="8"/>
        <v>1</v>
      </c>
      <c r="I73">
        <f t="shared" si="9"/>
        <v>1</v>
      </c>
      <c r="J73">
        <f t="shared" si="10"/>
        <v>6</v>
      </c>
      <c r="K73" s="4">
        <f t="shared" si="13"/>
        <v>846</v>
      </c>
      <c r="L73" t="str">
        <f t="shared" si="11"/>
        <v>Poor</v>
      </c>
      <c r="M73" t="str">
        <f t="shared" si="12"/>
        <v>Medium Discount</v>
      </c>
    </row>
    <row r="74" spans="1:13" ht="13" x14ac:dyDescent="0.3">
      <c r="A74" t="s">
        <v>167</v>
      </c>
      <c r="B74" s="4">
        <v>1570</v>
      </c>
      <c r="C74" s="4">
        <v>2988</v>
      </c>
      <c r="D74" s="1">
        <v>0.38</v>
      </c>
      <c r="E74">
        <v>-7</v>
      </c>
      <c r="F74" t="s">
        <v>139</v>
      </c>
      <c r="G74" s="8">
        <f t="shared" si="7"/>
        <v>2.1</v>
      </c>
      <c r="H74">
        <f t="shared" si="8"/>
        <v>1</v>
      </c>
      <c r="I74">
        <f t="shared" si="9"/>
        <v>1</v>
      </c>
      <c r="J74">
        <f t="shared" si="10"/>
        <v>7</v>
      </c>
      <c r="K74" s="4">
        <f t="shared" si="13"/>
        <v>1418</v>
      </c>
      <c r="L74" t="str">
        <f t="shared" si="11"/>
        <v>Poor</v>
      </c>
      <c r="M74" t="str">
        <f t="shared" si="12"/>
        <v>Medium Discount</v>
      </c>
    </row>
    <row r="75" spans="1:13" ht="13" x14ac:dyDescent="0.3">
      <c r="A75" t="s">
        <v>169</v>
      </c>
      <c r="B75" s="4">
        <v>790</v>
      </c>
      <c r="C75" s="4">
        <v>1485</v>
      </c>
      <c r="D75" s="1">
        <v>0.38</v>
      </c>
      <c r="G75" s="8" t="str">
        <f t="shared" si="7"/>
        <v/>
      </c>
      <c r="H75">
        <f t="shared" si="8"/>
        <v>0</v>
      </c>
      <c r="I75">
        <f t="shared" si="9"/>
        <v>0</v>
      </c>
      <c r="J75">
        <f t="shared" si="10"/>
        <v>0</v>
      </c>
      <c r="K75" s="4">
        <f t="shared" si="13"/>
        <v>695</v>
      </c>
      <c r="L75" t="str">
        <f t="shared" si="11"/>
        <v>Excellent</v>
      </c>
      <c r="M75" t="str">
        <f t="shared" si="12"/>
        <v>Medium Discount</v>
      </c>
    </row>
    <row r="76" spans="1:13" ht="13" x14ac:dyDescent="0.3">
      <c r="A76" t="s">
        <v>171</v>
      </c>
      <c r="B76" s="4">
        <v>690</v>
      </c>
      <c r="C76" s="4">
        <v>1200</v>
      </c>
      <c r="D76" s="1">
        <v>0.38</v>
      </c>
      <c r="G76" s="8" t="str">
        <f t="shared" si="7"/>
        <v/>
      </c>
      <c r="H76">
        <f t="shared" si="8"/>
        <v>0</v>
      </c>
      <c r="I76">
        <f t="shared" si="9"/>
        <v>0</v>
      </c>
      <c r="J76">
        <f t="shared" si="10"/>
        <v>0</v>
      </c>
      <c r="K76" s="4">
        <f t="shared" si="13"/>
        <v>510</v>
      </c>
      <c r="L76" t="str">
        <f t="shared" si="11"/>
        <v>Excellent</v>
      </c>
      <c r="M76" t="str">
        <f t="shared" si="12"/>
        <v>Medium Discount</v>
      </c>
    </row>
    <row r="77" spans="1:13" ht="13" x14ac:dyDescent="0.3">
      <c r="A77" t="s">
        <v>172</v>
      </c>
      <c r="B77" s="4">
        <v>1732</v>
      </c>
      <c r="C77" s="4">
        <v>1799</v>
      </c>
      <c r="D77" s="1">
        <v>0.38</v>
      </c>
      <c r="G77" s="8" t="str">
        <f t="shared" si="7"/>
        <v/>
      </c>
      <c r="H77">
        <f t="shared" si="8"/>
        <v>0</v>
      </c>
      <c r="I77">
        <f t="shared" si="9"/>
        <v>0</v>
      </c>
      <c r="J77">
        <f t="shared" si="10"/>
        <v>0</v>
      </c>
      <c r="K77" s="4">
        <f t="shared" si="13"/>
        <v>67</v>
      </c>
      <c r="L77" t="str">
        <f t="shared" si="11"/>
        <v>Excellent</v>
      </c>
      <c r="M77" t="str">
        <f t="shared" si="12"/>
        <v>Medium Discount</v>
      </c>
    </row>
    <row r="78" spans="1:13" ht="13" x14ac:dyDescent="0.3">
      <c r="A78" t="s">
        <v>174</v>
      </c>
      <c r="B78" s="4">
        <v>230</v>
      </c>
      <c r="C78" s="4">
        <v>450</v>
      </c>
      <c r="D78" s="1">
        <v>0.38</v>
      </c>
      <c r="G78" s="8" t="str">
        <f t="shared" si="7"/>
        <v/>
      </c>
      <c r="H78">
        <f t="shared" si="8"/>
        <v>0</v>
      </c>
      <c r="I78">
        <f t="shared" si="9"/>
        <v>0</v>
      </c>
      <c r="J78">
        <f t="shared" si="10"/>
        <v>0</v>
      </c>
      <c r="K78" s="4">
        <f t="shared" si="13"/>
        <v>220</v>
      </c>
      <c r="L78" t="str">
        <f t="shared" si="11"/>
        <v>Excellent</v>
      </c>
      <c r="M78" t="str">
        <f t="shared" si="12"/>
        <v>Medium Discount</v>
      </c>
    </row>
    <row r="79" spans="1:13" ht="13" x14ac:dyDescent="0.3">
      <c r="A79" t="s">
        <v>176</v>
      </c>
      <c r="B79" s="4">
        <v>1189</v>
      </c>
      <c r="C79" s="4">
        <v>2199</v>
      </c>
      <c r="D79" s="1">
        <v>0.38</v>
      </c>
      <c r="E79">
        <v>-1</v>
      </c>
      <c r="F79" t="s">
        <v>136</v>
      </c>
      <c r="G79" s="8">
        <f t="shared" si="7"/>
        <v>3</v>
      </c>
      <c r="H79">
        <f t="shared" si="8"/>
        <v>1</v>
      </c>
      <c r="I79">
        <f t="shared" si="9"/>
        <v>1</v>
      </c>
      <c r="J79">
        <f t="shared" si="10"/>
        <v>1</v>
      </c>
      <c r="K79" s="4">
        <f t="shared" si="13"/>
        <v>1010</v>
      </c>
      <c r="L79" t="str">
        <f t="shared" si="11"/>
        <v>Average</v>
      </c>
      <c r="M79" t="str">
        <f t="shared" si="12"/>
        <v>Medium Discount</v>
      </c>
    </row>
    <row r="80" spans="1:13" ht="13" x14ac:dyDescent="0.3">
      <c r="A80" t="s">
        <v>177</v>
      </c>
      <c r="B80" s="4">
        <v>979</v>
      </c>
      <c r="C80" s="4">
        <v>1920</v>
      </c>
      <c r="D80" s="1">
        <v>0.38</v>
      </c>
      <c r="E80">
        <v>-1</v>
      </c>
      <c r="F80" t="s">
        <v>44</v>
      </c>
      <c r="G80" s="8">
        <f t="shared" si="7"/>
        <v>5</v>
      </c>
      <c r="H80">
        <f t="shared" si="8"/>
        <v>1</v>
      </c>
      <c r="I80">
        <f t="shared" si="9"/>
        <v>1</v>
      </c>
      <c r="J80">
        <f t="shared" si="10"/>
        <v>1</v>
      </c>
      <c r="K80" s="4">
        <f t="shared" si="13"/>
        <v>941</v>
      </c>
      <c r="L80" t="str">
        <f t="shared" si="11"/>
        <v>Excellent</v>
      </c>
      <c r="M80" t="str">
        <f t="shared" si="12"/>
        <v>Medium Discount</v>
      </c>
    </row>
    <row r="81" spans="1:13" ht="13" x14ac:dyDescent="0.3">
      <c r="A81" t="s">
        <v>179</v>
      </c>
      <c r="B81" s="4">
        <v>1460</v>
      </c>
      <c r="C81" s="4">
        <v>2290</v>
      </c>
      <c r="D81" s="1">
        <v>0.38</v>
      </c>
      <c r="G81" s="8" t="str">
        <f t="shared" si="7"/>
        <v/>
      </c>
      <c r="H81">
        <f t="shared" si="8"/>
        <v>0</v>
      </c>
      <c r="I81">
        <f t="shared" si="9"/>
        <v>0</v>
      </c>
      <c r="J81">
        <f t="shared" si="10"/>
        <v>0</v>
      </c>
      <c r="K81" s="4">
        <f t="shared" si="13"/>
        <v>830</v>
      </c>
      <c r="L81" t="str">
        <f t="shared" si="11"/>
        <v>Excellent</v>
      </c>
      <c r="M81" t="str">
        <f t="shared" si="12"/>
        <v>Medium Discount</v>
      </c>
    </row>
    <row r="82" spans="1:13" ht="13" x14ac:dyDescent="0.3">
      <c r="A82" t="s">
        <v>181</v>
      </c>
      <c r="B82" s="4">
        <v>1666</v>
      </c>
      <c r="C82" s="4">
        <v>1699</v>
      </c>
      <c r="D82" s="1">
        <v>0.38</v>
      </c>
      <c r="G82" s="8" t="str">
        <f t="shared" si="7"/>
        <v/>
      </c>
      <c r="H82">
        <f t="shared" si="8"/>
        <v>0</v>
      </c>
      <c r="I82">
        <f t="shared" si="9"/>
        <v>0</v>
      </c>
      <c r="J82">
        <f t="shared" si="10"/>
        <v>0</v>
      </c>
      <c r="K82" s="4">
        <f t="shared" si="13"/>
        <v>33</v>
      </c>
      <c r="L82" t="str">
        <f t="shared" si="11"/>
        <v>Excellent</v>
      </c>
      <c r="M82" t="str">
        <f t="shared" si="12"/>
        <v>Medium Discount</v>
      </c>
    </row>
    <row r="83" spans="1:13" ht="13" x14ac:dyDescent="0.3">
      <c r="A83" t="s">
        <v>182</v>
      </c>
      <c r="B83" s="4">
        <v>330</v>
      </c>
      <c r="C83" s="4">
        <v>647</v>
      </c>
      <c r="D83" s="1">
        <v>0.38</v>
      </c>
      <c r="E83">
        <v>-1</v>
      </c>
      <c r="F83" t="s">
        <v>24</v>
      </c>
      <c r="G83" s="8">
        <f t="shared" si="7"/>
        <v>4</v>
      </c>
      <c r="H83">
        <f t="shared" si="8"/>
        <v>1</v>
      </c>
      <c r="I83">
        <f t="shared" si="9"/>
        <v>1</v>
      </c>
      <c r="J83">
        <f t="shared" si="10"/>
        <v>1</v>
      </c>
      <c r="K83" s="4">
        <f t="shared" si="13"/>
        <v>317</v>
      </c>
      <c r="L83" t="str">
        <f t="shared" si="11"/>
        <v>Average</v>
      </c>
      <c r="M83" t="str">
        <f t="shared" si="12"/>
        <v>Medium Discount</v>
      </c>
    </row>
    <row r="84" spans="1:13" ht="13" x14ac:dyDescent="0.3">
      <c r="A84" t="s">
        <v>183</v>
      </c>
      <c r="B84" s="4">
        <v>1466</v>
      </c>
      <c r="C84" s="4">
        <v>1699</v>
      </c>
      <c r="D84" s="1">
        <v>0.38</v>
      </c>
      <c r="G84" s="8" t="str">
        <f t="shared" si="7"/>
        <v/>
      </c>
      <c r="H84">
        <f t="shared" si="8"/>
        <v>0</v>
      </c>
      <c r="I84">
        <f t="shared" si="9"/>
        <v>0</v>
      </c>
      <c r="J84">
        <f t="shared" si="10"/>
        <v>0</v>
      </c>
      <c r="K84" s="4">
        <f t="shared" si="13"/>
        <v>233</v>
      </c>
      <c r="L84" t="str">
        <f t="shared" si="11"/>
        <v>Excellent</v>
      </c>
      <c r="M84" t="str">
        <f t="shared" si="12"/>
        <v>Medium Discount</v>
      </c>
    </row>
    <row r="85" spans="1:13" ht="13" x14ac:dyDescent="0.3">
      <c r="A85" t="s">
        <v>184</v>
      </c>
      <c r="B85" s="4">
        <v>274</v>
      </c>
      <c r="C85" s="4">
        <v>537</v>
      </c>
      <c r="D85" s="1">
        <v>0.38</v>
      </c>
      <c r="G85" s="8" t="str">
        <f t="shared" si="7"/>
        <v/>
      </c>
      <c r="H85">
        <f t="shared" si="8"/>
        <v>0</v>
      </c>
      <c r="I85">
        <f t="shared" si="9"/>
        <v>0</v>
      </c>
      <c r="J85">
        <f t="shared" si="10"/>
        <v>0</v>
      </c>
      <c r="K85" s="4">
        <f t="shared" si="13"/>
        <v>263</v>
      </c>
      <c r="L85" t="str">
        <f t="shared" si="11"/>
        <v>Excellent</v>
      </c>
      <c r="M85" t="str">
        <f t="shared" si="12"/>
        <v>Medium Discount</v>
      </c>
    </row>
    <row r="86" spans="1:13" ht="13" x14ac:dyDescent="0.3">
      <c r="A86" t="s">
        <v>186</v>
      </c>
      <c r="B86" s="4">
        <v>799</v>
      </c>
      <c r="C86" s="4">
        <v>900</v>
      </c>
      <c r="D86" s="1">
        <v>0.38</v>
      </c>
      <c r="G86" s="8" t="str">
        <f t="shared" si="7"/>
        <v/>
      </c>
      <c r="H86">
        <f t="shared" si="8"/>
        <v>0</v>
      </c>
      <c r="I86">
        <f t="shared" si="9"/>
        <v>0</v>
      </c>
      <c r="J86">
        <f t="shared" si="10"/>
        <v>0</v>
      </c>
      <c r="K86" s="4">
        <f t="shared" si="13"/>
        <v>101</v>
      </c>
      <c r="L86" t="str">
        <f t="shared" si="11"/>
        <v>Excellent</v>
      </c>
      <c r="M86" t="str">
        <f t="shared" si="12"/>
        <v>Medium Discount</v>
      </c>
    </row>
    <row r="87" spans="1:13" ht="13" x14ac:dyDescent="0.3">
      <c r="A87" t="s">
        <v>188</v>
      </c>
      <c r="B87" s="4">
        <v>1468</v>
      </c>
      <c r="C87" s="4">
        <v>1699</v>
      </c>
      <c r="D87" s="1">
        <v>0.38</v>
      </c>
      <c r="G87" s="8" t="str">
        <f t="shared" si="7"/>
        <v/>
      </c>
      <c r="H87">
        <f t="shared" si="8"/>
        <v>0</v>
      </c>
      <c r="I87">
        <f t="shared" si="9"/>
        <v>0</v>
      </c>
      <c r="J87">
        <f t="shared" si="10"/>
        <v>0</v>
      </c>
      <c r="K87" s="4">
        <f t="shared" si="13"/>
        <v>231</v>
      </c>
      <c r="L87" t="str">
        <f t="shared" si="11"/>
        <v>Excellent</v>
      </c>
      <c r="M87" t="str">
        <f t="shared" si="12"/>
        <v>Medium Discount</v>
      </c>
    </row>
    <row r="88" spans="1:13" ht="13" x14ac:dyDescent="0.3">
      <c r="A88" t="s">
        <v>189</v>
      </c>
      <c r="B88" s="4">
        <v>630</v>
      </c>
      <c r="C88" s="4">
        <v>1100</v>
      </c>
      <c r="D88" s="1">
        <v>0.38</v>
      </c>
      <c r="G88" s="8" t="str">
        <f t="shared" si="7"/>
        <v/>
      </c>
      <c r="H88">
        <f t="shared" si="8"/>
        <v>0</v>
      </c>
      <c r="I88">
        <f t="shared" si="9"/>
        <v>0</v>
      </c>
      <c r="J88">
        <f t="shared" si="10"/>
        <v>0</v>
      </c>
      <c r="K88" s="4">
        <f t="shared" si="13"/>
        <v>470</v>
      </c>
      <c r="L88" t="str">
        <f t="shared" si="11"/>
        <v>Excellent</v>
      </c>
      <c r="M88" t="str">
        <f t="shared" si="12"/>
        <v>Medium Discount</v>
      </c>
    </row>
    <row r="89" spans="1:13" ht="13" x14ac:dyDescent="0.3">
      <c r="A89" t="s">
        <v>191</v>
      </c>
      <c r="B89" s="4">
        <v>850</v>
      </c>
      <c r="C89" s="4">
        <v>1700</v>
      </c>
      <c r="D89" s="1">
        <v>0.38</v>
      </c>
      <c r="G89" s="8" t="str">
        <f t="shared" si="7"/>
        <v/>
      </c>
      <c r="H89">
        <f t="shared" si="8"/>
        <v>0</v>
      </c>
      <c r="I89">
        <f t="shared" si="9"/>
        <v>0</v>
      </c>
      <c r="J89">
        <f t="shared" si="10"/>
        <v>0</v>
      </c>
      <c r="K89" s="4">
        <f t="shared" si="13"/>
        <v>850</v>
      </c>
      <c r="L89" t="str">
        <f t="shared" si="11"/>
        <v>Excellent</v>
      </c>
      <c r="M89" t="str">
        <f t="shared" si="12"/>
        <v>Medium Discount</v>
      </c>
    </row>
    <row r="90" spans="1:13" ht="13" x14ac:dyDescent="0.3">
      <c r="A90" t="s">
        <v>193</v>
      </c>
      <c r="B90" s="4">
        <v>1300</v>
      </c>
      <c r="C90" s="4">
        <v>2500</v>
      </c>
      <c r="D90" s="1">
        <v>0.38</v>
      </c>
      <c r="G90" s="8" t="str">
        <f t="shared" si="7"/>
        <v/>
      </c>
      <c r="H90">
        <f t="shared" si="8"/>
        <v>0</v>
      </c>
      <c r="I90">
        <f t="shared" si="9"/>
        <v>0</v>
      </c>
      <c r="J90">
        <f t="shared" si="10"/>
        <v>0</v>
      </c>
      <c r="K90" s="4">
        <f t="shared" si="13"/>
        <v>1200</v>
      </c>
      <c r="L90" t="str">
        <f t="shared" si="11"/>
        <v>Excellent</v>
      </c>
      <c r="M90" t="str">
        <f t="shared" si="12"/>
        <v>Medium Discount</v>
      </c>
    </row>
    <row r="91" spans="1:13" ht="13" x14ac:dyDescent="0.3">
      <c r="A91" t="s">
        <v>194</v>
      </c>
      <c r="B91" s="4">
        <v>105</v>
      </c>
      <c r="C91" s="4">
        <v>200</v>
      </c>
      <c r="D91" s="1">
        <v>0.38</v>
      </c>
      <c r="G91" s="8" t="str">
        <f t="shared" si="7"/>
        <v/>
      </c>
      <c r="H91">
        <f t="shared" si="8"/>
        <v>0</v>
      </c>
      <c r="I91">
        <f t="shared" si="9"/>
        <v>0</v>
      </c>
      <c r="J91">
        <f t="shared" si="10"/>
        <v>0</v>
      </c>
      <c r="K91" s="4">
        <f t="shared" si="13"/>
        <v>95</v>
      </c>
      <c r="L91" t="str">
        <f t="shared" si="11"/>
        <v>Excellent</v>
      </c>
      <c r="M91" t="str">
        <f t="shared" si="12"/>
        <v>Medium Discount</v>
      </c>
    </row>
    <row r="92" spans="1:13" ht="13" x14ac:dyDescent="0.3">
      <c r="A92" t="s">
        <v>196</v>
      </c>
      <c r="B92" s="4">
        <v>899</v>
      </c>
      <c r="C92" s="4">
        <v>1699</v>
      </c>
      <c r="D92" s="1">
        <v>0.38</v>
      </c>
      <c r="G92" s="8" t="str">
        <f t="shared" si="7"/>
        <v/>
      </c>
      <c r="H92">
        <f t="shared" si="8"/>
        <v>0</v>
      </c>
      <c r="I92">
        <f t="shared" si="9"/>
        <v>0</v>
      </c>
      <c r="J92">
        <f t="shared" si="10"/>
        <v>0</v>
      </c>
      <c r="K92" s="4">
        <f t="shared" si="13"/>
        <v>800</v>
      </c>
      <c r="L92" t="str">
        <f t="shared" si="11"/>
        <v>Excellent</v>
      </c>
      <c r="M92" t="str">
        <f t="shared" si="12"/>
        <v>Medium Discount</v>
      </c>
    </row>
    <row r="93" spans="1:13" ht="13" x14ac:dyDescent="0.3">
      <c r="A93" t="s">
        <v>197</v>
      </c>
      <c r="B93" s="4">
        <v>1200</v>
      </c>
      <c r="C93" s="4">
        <v>2400</v>
      </c>
      <c r="D93" s="1">
        <v>0.38</v>
      </c>
      <c r="G93" s="8" t="str">
        <f t="shared" si="7"/>
        <v/>
      </c>
      <c r="H93">
        <f t="shared" si="8"/>
        <v>0</v>
      </c>
      <c r="I93">
        <f t="shared" si="9"/>
        <v>0</v>
      </c>
      <c r="J93">
        <f t="shared" si="10"/>
        <v>0</v>
      </c>
      <c r="K93" s="4">
        <f t="shared" si="13"/>
        <v>1200</v>
      </c>
      <c r="L93" t="str">
        <f t="shared" si="11"/>
        <v>Excellent</v>
      </c>
      <c r="M93" t="str">
        <f t="shared" si="12"/>
        <v>Medium Discount</v>
      </c>
    </row>
    <row r="94" spans="1:13" ht="13" x14ac:dyDescent="0.3">
      <c r="A94" t="s">
        <v>199</v>
      </c>
      <c r="B94" s="4">
        <v>1526</v>
      </c>
      <c r="C94" s="4">
        <v>1660</v>
      </c>
      <c r="D94" s="1">
        <v>0.38</v>
      </c>
      <c r="G94" s="8" t="str">
        <f t="shared" si="7"/>
        <v/>
      </c>
      <c r="H94">
        <f t="shared" si="8"/>
        <v>0</v>
      </c>
      <c r="I94">
        <f t="shared" si="9"/>
        <v>0</v>
      </c>
      <c r="J94">
        <f t="shared" si="10"/>
        <v>0</v>
      </c>
      <c r="K94" s="4">
        <f t="shared" si="13"/>
        <v>134</v>
      </c>
      <c r="L94" t="str">
        <f t="shared" si="11"/>
        <v>Excellent</v>
      </c>
      <c r="M94" t="str">
        <f t="shared" si="12"/>
        <v>Medium Discount</v>
      </c>
    </row>
    <row r="95" spans="1:13" ht="13" x14ac:dyDescent="0.3">
      <c r="A95" t="s">
        <v>200</v>
      </c>
      <c r="B95" s="4">
        <v>1462</v>
      </c>
      <c r="C95" s="4">
        <v>1499</v>
      </c>
      <c r="D95" s="1">
        <v>0.38</v>
      </c>
      <c r="G95" s="8" t="str">
        <f t="shared" si="7"/>
        <v/>
      </c>
      <c r="H95">
        <f t="shared" si="8"/>
        <v>0</v>
      </c>
      <c r="I95">
        <f t="shared" si="9"/>
        <v>0</v>
      </c>
      <c r="J95">
        <f t="shared" si="10"/>
        <v>0</v>
      </c>
      <c r="K95" s="4">
        <f t="shared" si="13"/>
        <v>37</v>
      </c>
      <c r="L95" t="str">
        <f t="shared" si="11"/>
        <v>Excellent</v>
      </c>
      <c r="M95" t="str">
        <f t="shared" si="12"/>
        <v>Medium Discount</v>
      </c>
    </row>
    <row r="96" spans="1:13" ht="13" x14ac:dyDescent="0.3">
      <c r="A96" t="s">
        <v>201</v>
      </c>
      <c r="B96" s="4">
        <v>248</v>
      </c>
      <c r="C96" s="4">
        <v>486</v>
      </c>
      <c r="D96" s="1">
        <v>0.38</v>
      </c>
      <c r="G96" s="8" t="str">
        <f t="shared" si="7"/>
        <v/>
      </c>
      <c r="H96">
        <f t="shared" si="8"/>
        <v>0</v>
      </c>
      <c r="I96">
        <f t="shared" si="9"/>
        <v>0</v>
      </c>
      <c r="J96">
        <f t="shared" si="10"/>
        <v>0</v>
      </c>
      <c r="K96" s="4">
        <f t="shared" si="13"/>
        <v>238</v>
      </c>
      <c r="L96" t="str">
        <f t="shared" si="11"/>
        <v>Excellent</v>
      </c>
      <c r="M96" t="str">
        <f t="shared" si="12"/>
        <v>Medium Discount</v>
      </c>
    </row>
    <row r="97" spans="1:13" ht="13" x14ac:dyDescent="0.3">
      <c r="A97" t="s">
        <v>203</v>
      </c>
      <c r="B97" s="4">
        <v>3546</v>
      </c>
      <c r="C97" s="4">
        <v>3699</v>
      </c>
      <c r="D97" s="1">
        <v>0.38</v>
      </c>
      <c r="G97" s="8" t="str">
        <f t="shared" si="7"/>
        <v/>
      </c>
      <c r="H97">
        <f t="shared" si="8"/>
        <v>0</v>
      </c>
      <c r="I97">
        <f t="shared" si="9"/>
        <v>0</v>
      </c>
      <c r="J97">
        <f t="shared" si="10"/>
        <v>0</v>
      </c>
      <c r="K97" s="4">
        <f t="shared" si="13"/>
        <v>153</v>
      </c>
      <c r="L97" t="str">
        <f t="shared" si="11"/>
        <v>Excellent</v>
      </c>
      <c r="M97" t="str">
        <f t="shared" si="12"/>
        <v>Medium Discount</v>
      </c>
    </row>
    <row r="98" spans="1:13" ht="13" x14ac:dyDescent="0.3">
      <c r="A98" t="s">
        <v>204</v>
      </c>
      <c r="B98" s="4">
        <v>525</v>
      </c>
      <c r="C98" s="4">
        <v>1029</v>
      </c>
      <c r="D98" s="1">
        <v>0.38</v>
      </c>
      <c r="G98" s="8" t="str">
        <f t="shared" si="7"/>
        <v/>
      </c>
      <c r="H98">
        <f t="shared" si="8"/>
        <v>0</v>
      </c>
      <c r="I98">
        <f t="shared" si="9"/>
        <v>0</v>
      </c>
      <c r="J98">
        <f t="shared" si="10"/>
        <v>0</v>
      </c>
      <c r="K98" s="4">
        <f t="shared" si="13"/>
        <v>504</v>
      </c>
      <c r="L98" t="str">
        <f t="shared" si="11"/>
        <v>Excellent</v>
      </c>
      <c r="M98" t="str">
        <f t="shared" si="12"/>
        <v>Medium Discount</v>
      </c>
    </row>
    <row r="99" spans="1:13" ht="13" x14ac:dyDescent="0.3">
      <c r="A99" t="s">
        <v>206</v>
      </c>
      <c r="B99" s="4">
        <v>1080</v>
      </c>
      <c r="C99" s="4">
        <v>1874</v>
      </c>
      <c r="D99" s="1">
        <v>0.38</v>
      </c>
      <c r="G99" s="8" t="str">
        <f t="shared" si="7"/>
        <v/>
      </c>
      <c r="H99">
        <f t="shared" si="8"/>
        <v>0</v>
      </c>
      <c r="I99">
        <f t="shared" si="9"/>
        <v>0</v>
      </c>
      <c r="J99">
        <f t="shared" si="10"/>
        <v>0</v>
      </c>
      <c r="K99" s="4">
        <f t="shared" si="13"/>
        <v>794</v>
      </c>
      <c r="L99" t="str">
        <f t="shared" si="11"/>
        <v>Excellent</v>
      </c>
      <c r="M99" t="str">
        <f t="shared" si="12"/>
        <v>Medium Discount</v>
      </c>
    </row>
    <row r="100" spans="1:13" ht="13" x14ac:dyDescent="0.3">
      <c r="A100" t="s">
        <v>208</v>
      </c>
      <c r="B100" s="4">
        <v>3640</v>
      </c>
      <c r="C100" s="4">
        <v>4588</v>
      </c>
      <c r="D100" s="1">
        <v>0.38</v>
      </c>
      <c r="E100">
        <v>-1</v>
      </c>
      <c r="F100" t="s">
        <v>44</v>
      </c>
      <c r="G100" s="8">
        <f t="shared" si="7"/>
        <v>5</v>
      </c>
      <c r="H100">
        <f t="shared" si="8"/>
        <v>1</v>
      </c>
      <c r="I100">
        <f t="shared" si="9"/>
        <v>1</v>
      </c>
      <c r="J100">
        <f t="shared" si="10"/>
        <v>1</v>
      </c>
      <c r="K100" s="4">
        <f t="shared" si="13"/>
        <v>948</v>
      </c>
      <c r="L100" t="str">
        <f t="shared" si="11"/>
        <v>Excellent</v>
      </c>
      <c r="M100" t="str">
        <f t="shared" si="12"/>
        <v>Medium Discount</v>
      </c>
    </row>
    <row r="101" spans="1:13" ht="13" x14ac:dyDescent="0.3">
      <c r="A101" t="s">
        <v>210</v>
      </c>
      <c r="B101" s="4">
        <v>1420</v>
      </c>
      <c r="C101" s="4">
        <v>2420</v>
      </c>
      <c r="D101" s="1">
        <v>0.38</v>
      </c>
      <c r="G101" s="8" t="str">
        <f t="shared" si="7"/>
        <v/>
      </c>
      <c r="H101">
        <f t="shared" si="8"/>
        <v>0</v>
      </c>
      <c r="I101">
        <f t="shared" si="9"/>
        <v>0</v>
      </c>
      <c r="J101">
        <f t="shared" si="10"/>
        <v>0</v>
      </c>
      <c r="K101" s="4">
        <f t="shared" si="13"/>
        <v>1000</v>
      </c>
      <c r="L101" t="str">
        <f t="shared" si="11"/>
        <v>Excellent</v>
      </c>
      <c r="M101" t="str">
        <f t="shared" si="12"/>
        <v>Medium Discount</v>
      </c>
    </row>
    <row r="102" spans="1:13" ht="13" x14ac:dyDescent="0.3">
      <c r="A102" t="s">
        <v>212</v>
      </c>
      <c r="B102" s="4">
        <v>1875</v>
      </c>
      <c r="C102" s="4">
        <v>1899</v>
      </c>
      <c r="D102" s="1">
        <v>0.38</v>
      </c>
      <c r="G102" s="8" t="str">
        <f t="shared" si="7"/>
        <v/>
      </c>
      <c r="H102">
        <f t="shared" si="8"/>
        <v>0</v>
      </c>
      <c r="I102">
        <f t="shared" si="9"/>
        <v>0</v>
      </c>
      <c r="J102">
        <f t="shared" si="10"/>
        <v>0</v>
      </c>
      <c r="K102" s="4">
        <f t="shared" si="13"/>
        <v>24</v>
      </c>
      <c r="L102" t="str">
        <f t="shared" si="11"/>
        <v>Excellent</v>
      </c>
      <c r="M102" t="str">
        <f t="shared" si="12"/>
        <v>Medium Discount</v>
      </c>
    </row>
    <row r="103" spans="1:13" ht="13" x14ac:dyDescent="0.3">
      <c r="A103" t="s">
        <v>214</v>
      </c>
      <c r="B103" s="4">
        <v>198</v>
      </c>
      <c r="C103" s="4">
        <v>260</v>
      </c>
      <c r="D103" s="1">
        <v>0.38</v>
      </c>
      <c r="G103" s="8" t="str">
        <f t="shared" si="7"/>
        <v/>
      </c>
      <c r="I103">
        <f t="shared" si="9"/>
        <v>0</v>
      </c>
      <c r="J103">
        <f t="shared" si="10"/>
        <v>0</v>
      </c>
      <c r="K103" s="4">
        <f t="shared" si="13"/>
        <v>62</v>
      </c>
      <c r="L103" t="str">
        <f t="shared" si="11"/>
        <v>Excellent</v>
      </c>
      <c r="M103" t="str">
        <f t="shared" si="12"/>
        <v>Medium Discount</v>
      </c>
    </row>
    <row r="104" spans="1:13" ht="13" x14ac:dyDescent="0.3">
      <c r="A104" t="s">
        <v>216</v>
      </c>
      <c r="B104" s="4">
        <v>1150</v>
      </c>
      <c r="C104" s="4">
        <v>1737</v>
      </c>
      <c r="D104" s="1">
        <v>0.38</v>
      </c>
      <c r="G104" s="8" t="str">
        <f t="shared" si="7"/>
        <v/>
      </c>
      <c r="H104">
        <f t="shared" si="8"/>
        <v>0</v>
      </c>
      <c r="I104">
        <f t="shared" si="9"/>
        <v>0</v>
      </c>
      <c r="J104">
        <f t="shared" si="10"/>
        <v>0</v>
      </c>
      <c r="K104" s="4">
        <f t="shared" si="13"/>
        <v>587</v>
      </c>
      <c r="L104" t="str">
        <f t="shared" si="11"/>
        <v>Excellent</v>
      </c>
      <c r="M104" t="str">
        <f t="shared" si="12"/>
        <v>Medium Discount</v>
      </c>
    </row>
    <row r="105" spans="1:13" ht="13" x14ac:dyDescent="0.3">
      <c r="A105" t="s">
        <v>218</v>
      </c>
      <c r="B105" s="4">
        <v>1190</v>
      </c>
      <c r="C105" s="4">
        <v>1810</v>
      </c>
      <c r="D105" s="1">
        <v>0.38</v>
      </c>
      <c r="G105" s="8" t="str">
        <f t="shared" si="7"/>
        <v/>
      </c>
      <c r="H105">
        <f t="shared" si="8"/>
        <v>0</v>
      </c>
      <c r="I105">
        <f t="shared" si="9"/>
        <v>0</v>
      </c>
      <c r="J105">
        <f t="shared" si="10"/>
        <v>0</v>
      </c>
      <c r="K105" s="4">
        <f t="shared" si="13"/>
        <v>620</v>
      </c>
      <c r="L105" t="str">
        <f t="shared" si="11"/>
        <v>Excellent</v>
      </c>
      <c r="M105" t="str">
        <f t="shared" si="12"/>
        <v>Medium Discount</v>
      </c>
    </row>
    <row r="106" spans="1:13" ht="13" x14ac:dyDescent="0.3">
      <c r="A106" t="s">
        <v>220</v>
      </c>
      <c r="B106" s="4">
        <v>1658</v>
      </c>
      <c r="C106" s="4">
        <v>1699</v>
      </c>
      <c r="D106" s="1">
        <v>0.38</v>
      </c>
      <c r="G106" s="8" t="str">
        <f t="shared" si="7"/>
        <v/>
      </c>
      <c r="H106">
        <f t="shared" si="8"/>
        <v>0</v>
      </c>
      <c r="I106">
        <f t="shared" si="9"/>
        <v>0</v>
      </c>
      <c r="J106">
        <f t="shared" si="10"/>
        <v>0</v>
      </c>
      <c r="K106" s="4">
        <f t="shared" si="13"/>
        <v>41</v>
      </c>
      <c r="L106" t="str">
        <f t="shared" si="11"/>
        <v>Excellent</v>
      </c>
      <c r="M106" t="str">
        <f t="shared" si="12"/>
        <v>Medium Discount</v>
      </c>
    </row>
    <row r="107" spans="1:13" ht="13" x14ac:dyDescent="0.3">
      <c r="A107" t="s">
        <v>221</v>
      </c>
      <c r="B107" s="4">
        <v>1768</v>
      </c>
      <c r="C107" s="4">
        <v>1799</v>
      </c>
      <c r="D107" s="1">
        <v>0.38</v>
      </c>
      <c r="G107" s="8" t="str">
        <f t="shared" si="7"/>
        <v/>
      </c>
      <c r="H107">
        <f t="shared" si="8"/>
        <v>0</v>
      </c>
      <c r="I107">
        <f t="shared" si="9"/>
        <v>0</v>
      </c>
      <c r="J107">
        <f t="shared" si="10"/>
        <v>0</v>
      </c>
      <c r="K107" s="4">
        <f t="shared" si="13"/>
        <v>31</v>
      </c>
      <c r="L107" t="str">
        <f t="shared" si="11"/>
        <v>Excellent</v>
      </c>
      <c r="M107" t="str">
        <f t="shared" si="12"/>
        <v>Medium Discount</v>
      </c>
    </row>
    <row r="108" spans="1:13" ht="13" x14ac:dyDescent="0.3">
      <c r="A108" t="s">
        <v>222</v>
      </c>
      <c r="B108" s="4">
        <v>199</v>
      </c>
      <c r="C108" s="4">
        <v>553</v>
      </c>
      <c r="D108" s="1">
        <v>0.38</v>
      </c>
      <c r="G108" s="8" t="str">
        <f t="shared" si="7"/>
        <v/>
      </c>
      <c r="H108">
        <f t="shared" si="8"/>
        <v>0</v>
      </c>
      <c r="I108">
        <f t="shared" si="9"/>
        <v>0</v>
      </c>
      <c r="J108">
        <f t="shared" si="10"/>
        <v>0</v>
      </c>
      <c r="K108" s="4">
        <f t="shared" si="13"/>
        <v>354</v>
      </c>
      <c r="L108" t="str">
        <f t="shared" si="11"/>
        <v>Excellent</v>
      </c>
      <c r="M108" t="str">
        <f t="shared" si="12"/>
        <v>Medium Discount</v>
      </c>
    </row>
    <row r="109" spans="1:13" ht="13" x14ac:dyDescent="0.3">
      <c r="A109" t="s">
        <v>224</v>
      </c>
      <c r="B109" s="4">
        <v>450</v>
      </c>
      <c r="C109" s="4">
        <v>900</v>
      </c>
      <c r="D109" s="1">
        <v>0.38</v>
      </c>
      <c r="E109">
        <v>-1</v>
      </c>
      <c r="F109" t="s">
        <v>225</v>
      </c>
      <c r="G109" s="8">
        <f t="shared" si="7"/>
        <v>2</v>
      </c>
      <c r="H109">
        <f t="shared" si="8"/>
        <v>1</v>
      </c>
      <c r="I109">
        <f t="shared" si="9"/>
        <v>1</v>
      </c>
      <c r="J109">
        <f t="shared" si="10"/>
        <v>1</v>
      </c>
      <c r="K109" s="4">
        <f t="shared" si="13"/>
        <v>450</v>
      </c>
      <c r="L109" t="str">
        <f t="shared" si="11"/>
        <v>Poor</v>
      </c>
      <c r="M109" t="str">
        <f t="shared" si="12"/>
        <v>Medium Discount</v>
      </c>
    </row>
    <row r="110" spans="1:13" ht="13" x14ac:dyDescent="0.3">
      <c r="A110" t="s">
        <v>226</v>
      </c>
      <c r="B110" s="4">
        <v>169</v>
      </c>
      <c r="C110" s="4">
        <v>320</v>
      </c>
      <c r="D110" s="1">
        <v>0.38</v>
      </c>
      <c r="G110" s="8" t="str">
        <f t="shared" si="7"/>
        <v/>
      </c>
      <c r="H110">
        <f t="shared" si="8"/>
        <v>0</v>
      </c>
      <c r="I110">
        <f t="shared" si="9"/>
        <v>0</v>
      </c>
      <c r="J110">
        <f t="shared" si="10"/>
        <v>0</v>
      </c>
      <c r="K110" s="4">
        <f t="shared" si="13"/>
        <v>151</v>
      </c>
      <c r="L110" t="str">
        <f t="shared" si="11"/>
        <v>Excellent</v>
      </c>
      <c r="M110" t="str">
        <f t="shared" si="12"/>
        <v>Medium Discount</v>
      </c>
    </row>
    <row r="111" spans="1:13" s="2" customFormat="1" ht="13" x14ac:dyDescent="0.3">
      <c r="B111" s="6"/>
      <c r="C111" s="6"/>
      <c r="D111" s="9"/>
      <c r="G111" s="7"/>
    </row>
    <row r="112" spans="1:13" s="2" customFormat="1" ht="13" x14ac:dyDescent="0.3">
      <c r="B112" s="6"/>
      <c r="C112" s="6"/>
      <c r="D112" s="9"/>
      <c r="G112" s="7"/>
    </row>
    <row r="113" spans="2:10" s="2" customFormat="1" ht="13" x14ac:dyDescent="0.3">
      <c r="B113" s="6"/>
      <c r="C113" s="6"/>
      <c r="D113" s="9"/>
      <c r="G113" s="7"/>
      <c r="H113"/>
      <c r="I113"/>
      <c r="J113"/>
    </row>
    <row r="114" spans="2:10" ht="13" x14ac:dyDescent="0.3"/>
    <row r="115" spans="2:10" ht="13" x14ac:dyDescent="0.3">
      <c r="B115"/>
    </row>
  </sheetData>
  <autoFilter ref="A1:I110" xr:uid="{701BAEDD-E56B-4464-8ABC-D05DDB50454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498D-0C4D-42F3-A7B8-8773122CE0FA}">
  <dimension ref="A3:A4"/>
  <sheetViews>
    <sheetView workbookViewId="0">
      <selection activeCell="A4" sqref="A4"/>
    </sheetView>
  </sheetViews>
  <sheetFormatPr defaultRowHeight="13" x14ac:dyDescent="0.3"/>
  <cols>
    <col min="1" max="1" width="14.6328125" bestFit="1" customWidth="1"/>
  </cols>
  <sheetData>
    <row r="3" spans="1:1" x14ac:dyDescent="0.3">
      <c r="A3" t="s">
        <v>253</v>
      </c>
    </row>
    <row r="4" spans="1:1" x14ac:dyDescent="0.3">
      <c r="A4" s="13">
        <v>112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3352-F1FD-4ACB-9244-77C2A59AE7A6}">
  <dimension ref="A3:A4"/>
  <sheetViews>
    <sheetView workbookViewId="0">
      <selection activeCell="A4" sqref="A4"/>
    </sheetView>
  </sheetViews>
  <sheetFormatPr defaultRowHeight="13" x14ac:dyDescent="0.3"/>
  <cols>
    <col min="1" max="1" width="21.08984375" bestFit="1" customWidth="1"/>
  </cols>
  <sheetData>
    <row r="3" spans="1:1" x14ac:dyDescent="0.3">
      <c r="A3" t="s">
        <v>245</v>
      </c>
    </row>
    <row r="4" spans="1:1" x14ac:dyDescent="0.3">
      <c r="A4" s="13">
        <v>3.8894736842105258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7068-573F-4BAE-AB1B-7740260BA7B5}">
  <dimension ref="A3:A4"/>
  <sheetViews>
    <sheetView workbookViewId="0">
      <selection sqref="A1:XFD1048576"/>
    </sheetView>
  </sheetViews>
  <sheetFormatPr defaultRowHeight="13" x14ac:dyDescent="0.3"/>
  <cols>
    <col min="1" max="1" width="17.36328125" bestFit="1" customWidth="1"/>
  </cols>
  <sheetData>
    <row r="3" spans="1:1" x14ac:dyDescent="0.3">
      <c r="A3" t="s">
        <v>248</v>
      </c>
    </row>
    <row r="4" spans="1:1" x14ac:dyDescent="0.3">
      <c r="A4" s="5">
        <v>0.36776785714285715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0E56-88C2-4981-A7E9-A1F4694D3EE2}">
  <dimension ref="A3:A4"/>
  <sheetViews>
    <sheetView workbookViewId="0">
      <selection activeCell="B4" sqref="B4"/>
    </sheetView>
  </sheetViews>
  <sheetFormatPr defaultRowHeight="13" x14ac:dyDescent="0.3"/>
  <cols>
    <col min="1" max="1" width="14.1796875" bestFit="1" customWidth="1"/>
  </cols>
  <sheetData>
    <row r="3" spans="1:1" x14ac:dyDescent="0.3">
      <c r="A3" t="s">
        <v>254</v>
      </c>
    </row>
    <row r="4" spans="1:1" x14ac:dyDescent="0.3">
      <c r="A4" s="13">
        <v>57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655A-474E-4CC1-B312-F3C73831D2A4}">
  <dimension ref="A3:B14"/>
  <sheetViews>
    <sheetView workbookViewId="0">
      <selection activeCell="B24" sqref="B24"/>
    </sheetView>
  </sheetViews>
  <sheetFormatPr defaultRowHeight="13" x14ac:dyDescent="0.3"/>
  <cols>
    <col min="1" max="1" width="63.26953125" bestFit="1" customWidth="1"/>
    <col min="2" max="2" width="21.08984375" bestFit="1" customWidth="1"/>
  </cols>
  <sheetData>
    <row r="3" spans="1:2" x14ac:dyDescent="0.3">
      <c r="A3" s="10" t="s">
        <v>239</v>
      </c>
      <c r="B3" t="s">
        <v>245</v>
      </c>
    </row>
    <row r="4" spans="1:2" x14ac:dyDescent="0.3">
      <c r="A4" s="11" t="s">
        <v>87</v>
      </c>
      <c r="B4" s="8">
        <v>5</v>
      </c>
    </row>
    <row r="5" spans="1:2" x14ac:dyDescent="0.3">
      <c r="A5" s="11" t="s">
        <v>47</v>
      </c>
      <c r="B5" s="8">
        <v>5</v>
      </c>
    </row>
    <row r="6" spans="1:2" x14ac:dyDescent="0.3">
      <c r="A6" s="11" t="s">
        <v>208</v>
      </c>
      <c r="B6" s="8">
        <v>5</v>
      </c>
    </row>
    <row r="7" spans="1:2" x14ac:dyDescent="0.3">
      <c r="A7" s="11" t="s">
        <v>42</v>
      </c>
      <c r="B7" s="8">
        <v>5</v>
      </c>
    </row>
    <row r="8" spans="1:2" x14ac:dyDescent="0.3">
      <c r="A8" s="11" t="s">
        <v>45</v>
      </c>
      <c r="B8" s="8">
        <v>5</v>
      </c>
    </row>
    <row r="9" spans="1:2" x14ac:dyDescent="0.3">
      <c r="A9" s="11" t="s">
        <v>177</v>
      </c>
      <c r="B9" s="8">
        <v>5</v>
      </c>
    </row>
    <row r="10" spans="1:2" x14ac:dyDescent="0.3">
      <c r="A10" s="11" t="s">
        <v>85</v>
      </c>
      <c r="B10" s="8">
        <v>5</v>
      </c>
    </row>
    <row r="11" spans="1:2" x14ac:dyDescent="0.3">
      <c r="A11" s="11" t="s">
        <v>28</v>
      </c>
      <c r="B11" s="8">
        <v>4.8</v>
      </c>
    </row>
    <row r="12" spans="1:2" x14ac:dyDescent="0.3">
      <c r="A12" s="11" t="s">
        <v>19</v>
      </c>
      <c r="B12" s="8">
        <v>4.8</v>
      </c>
    </row>
    <row r="13" spans="1:2" x14ac:dyDescent="0.3">
      <c r="A13" s="11" t="s">
        <v>36</v>
      </c>
      <c r="B13" s="8">
        <v>4.8</v>
      </c>
    </row>
    <row r="14" spans="1:2" x14ac:dyDescent="0.3">
      <c r="A14" s="11" t="s">
        <v>241</v>
      </c>
      <c r="B14" s="8">
        <v>4.9399999999999995</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5029-B715-4932-B346-501E84B946BD}">
  <dimension ref="A3:B14"/>
  <sheetViews>
    <sheetView workbookViewId="0">
      <selection activeCell="E22" sqref="E22"/>
    </sheetView>
  </sheetViews>
  <sheetFormatPr defaultRowHeight="13" x14ac:dyDescent="0.3"/>
  <cols>
    <col min="1" max="1" width="60.453125" bestFit="1" customWidth="1"/>
    <col min="2" max="2" width="21.453125" bestFit="1" customWidth="1"/>
  </cols>
  <sheetData>
    <row r="3" spans="1:2" x14ac:dyDescent="0.3">
      <c r="A3" s="10" t="s">
        <v>239</v>
      </c>
      <c r="B3" t="s">
        <v>263</v>
      </c>
    </row>
    <row r="4" spans="1:2" x14ac:dyDescent="0.3">
      <c r="A4" s="11" t="s">
        <v>140</v>
      </c>
      <c r="B4" s="8">
        <v>69</v>
      </c>
    </row>
    <row r="5" spans="1:2" x14ac:dyDescent="0.3">
      <c r="A5" s="11" t="s">
        <v>25</v>
      </c>
      <c r="B5" s="8">
        <v>55</v>
      </c>
    </row>
    <row r="6" spans="1:2" x14ac:dyDescent="0.3">
      <c r="A6" s="11" t="s">
        <v>66</v>
      </c>
      <c r="B6" s="8">
        <v>49</v>
      </c>
    </row>
    <row r="7" spans="1:2" x14ac:dyDescent="0.3">
      <c r="A7" s="11" t="s">
        <v>51</v>
      </c>
      <c r="B7" s="8">
        <v>44</v>
      </c>
    </row>
    <row r="8" spans="1:2" x14ac:dyDescent="0.3">
      <c r="A8" s="11" t="s">
        <v>34</v>
      </c>
      <c r="B8" s="8">
        <v>39</v>
      </c>
    </row>
    <row r="9" spans="1:2" x14ac:dyDescent="0.3">
      <c r="A9" s="11" t="s">
        <v>88</v>
      </c>
      <c r="B9" s="8">
        <v>36</v>
      </c>
    </row>
    <row r="10" spans="1:2" x14ac:dyDescent="0.3">
      <c r="A10" s="11" t="s">
        <v>83</v>
      </c>
      <c r="B10" s="8">
        <v>32</v>
      </c>
    </row>
    <row r="11" spans="1:2" x14ac:dyDescent="0.3">
      <c r="A11" s="11" t="s">
        <v>11</v>
      </c>
      <c r="B11" s="8">
        <v>24</v>
      </c>
    </row>
    <row r="12" spans="1:2" x14ac:dyDescent="0.3">
      <c r="A12" s="11" t="s">
        <v>81</v>
      </c>
      <c r="B12" s="8">
        <v>20</v>
      </c>
    </row>
    <row r="13" spans="1:2" x14ac:dyDescent="0.3">
      <c r="A13" s="11" t="s">
        <v>72</v>
      </c>
      <c r="B13" s="8">
        <v>20</v>
      </c>
    </row>
    <row r="14" spans="1:2" x14ac:dyDescent="0.3">
      <c r="A14" s="11" t="s">
        <v>241</v>
      </c>
      <c r="B14" s="8">
        <v>388</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70AA-FFE3-4872-A278-93D5CBB3C05F}">
  <dimension ref="A3:B14"/>
  <sheetViews>
    <sheetView workbookViewId="0">
      <selection activeCell="E13" sqref="E13"/>
    </sheetView>
  </sheetViews>
  <sheetFormatPr defaultRowHeight="13" x14ac:dyDescent="0.3"/>
  <cols>
    <col min="1" max="1" width="67.7265625" bestFit="1" customWidth="1"/>
    <col min="2" max="2" width="17.36328125" bestFit="1" customWidth="1"/>
  </cols>
  <sheetData>
    <row r="3" spans="1:2" x14ac:dyDescent="0.3">
      <c r="A3" s="10" t="s">
        <v>239</v>
      </c>
      <c r="B3" t="s">
        <v>248</v>
      </c>
    </row>
    <row r="4" spans="1:2" x14ac:dyDescent="0.3">
      <c r="A4" s="11" t="s">
        <v>222</v>
      </c>
      <c r="B4" s="5">
        <v>0.64</v>
      </c>
    </row>
    <row r="5" spans="1:2" x14ac:dyDescent="0.3">
      <c r="A5" s="11" t="s">
        <v>28</v>
      </c>
      <c r="B5" s="5">
        <v>0.55000000000000004</v>
      </c>
    </row>
    <row r="6" spans="1:2" x14ac:dyDescent="0.3">
      <c r="A6" s="11" t="s">
        <v>137</v>
      </c>
      <c r="B6" s="5">
        <v>0.55000000000000004</v>
      </c>
    </row>
    <row r="7" spans="1:2" x14ac:dyDescent="0.3">
      <c r="A7" s="11" t="s">
        <v>110</v>
      </c>
      <c r="B7" s="5">
        <v>0.55000000000000004</v>
      </c>
    </row>
    <row r="8" spans="1:2" x14ac:dyDescent="0.3">
      <c r="A8" s="11" t="s">
        <v>63</v>
      </c>
      <c r="B8" s="5">
        <v>0.54</v>
      </c>
    </row>
    <row r="9" spans="1:2" x14ac:dyDescent="0.3">
      <c r="A9" s="11" t="s">
        <v>134</v>
      </c>
      <c r="B9" s="5">
        <v>0.54</v>
      </c>
    </row>
    <row r="10" spans="1:2" x14ac:dyDescent="0.3">
      <c r="A10" s="11" t="s">
        <v>87</v>
      </c>
      <c r="B10" s="5">
        <v>0.53</v>
      </c>
    </row>
    <row r="11" spans="1:2" x14ac:dyDescent="0.3">
      <c r="A11" s="11" t="s">
        <v>53</v>
      </c>
      <c r="B11" s="5">
        <v>0.53</v>
      </c>
    </row>
    <row r="12" spans="1:2" x14ac:dyDescent="0.3">
      <c r="A12" s="11" t="s">
        <v>75</v>
      </c>
      <c r="B12" s="5">
        <v>0.52</v>
      </c>
    </row>
    <row r="13" spans="1:2" x14ac:dyDescent="0.3">
      <c r="A13" s="11" t="s">
        <v>143</v>
      </c>
      <c r="B13" s="5">
        <v>0.52</v>
      </c>
    </row>
    <row r="14" spans="1:2" x14ac:dyDescent="0.3">
      <c r="A14" s="11" t="s">
        <v>241</v>
      </c>
      <c r="B14" s="5">
        <v>0.54727272727272724</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2AFD-9536-473E-AAA5-3B373AB1E8D6}">
  <dimension ref="A3:B4"/>
  <sheetViews>
    <sheetView workbookViewId="0">
      <selection activeCell="A3" sqref="A3"/>
    </sheetView>
  </sheetViews>
  <sheetFormatPr defaultRowHeight="13" x14ac:dyDescent="0.3"/>
  <cols>
    <col min="1" max="1" width="14.1796875" bestFit="1" customWidth="1"/>
    <col min="2" max="2" width="21.453125" bestFit="1" customWidth="1"/>
  </cols>
  <sheetData>
    <row r="3" spans="1:2" x14ac:dyDescent="0.3">
      <c r="A3" t="s">
        <v>262</v>
      </c>
      <c r="B3" t="s">
        <v>263</v>
      </c>
    </row>
    <row r="4" spans="1:2" x14ac:dyDescent="0.3">
      <c r="A4" s="5">
        <v>41.19</v>
      </c>
      <c r="B4" s="8">
        <v>723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EAE-4B4B-4486-9A4B-8E562B01852A}">
  <dimension ref="A3:B7"/>
  <sheetViews>
    <sheetView workbookViewId="0">
      <selection activeCell="B9" sqref="B9"/>
    </sheetView>
  </sheetViews>
  <sheetFormatPr defaultRowHeight="13" x14ac:dyDescent="0.3"/>
  <cols>
    <col min="1" max="1" width="12.453125" bestFit="1" customWidth="1"/>
    <col min="2" max="2" width="14.6328125" bestFit="1" customWidth="1"/>
  </cols>
  <sheetData>
    <row r="3" spans="1:2" x14ac:dyDescent="0.3">
      <c r="A3" s="10" t="s">
        <v>239</v>
      </c>
      <c r="B3" t="s">
        <v>253</v>
      </c>
    </row>
    <row r="4" spans="1:2" x14ac:dyDescent="0.3">
      <c r="A4" s="11" t="s">
        <v>238</v>
      </c>
      <c r="B4" s="13">
        <v>22</v>
      </c>
    </row>
    <row r="5" spans="1:2" x14ac:dyDescent="0.3">
      <c r="A5" s="11" t="s">
        <v>251</v>
      </c>
      <c r="B5" s="13">
        <v>78</v>
      </c>
    </row>
    <row r="6" spans="1:2" x14ac:dyDescent="0.3">
      <c r="A6" s="11" t="s">
        <v>252</v>
      </c>
      <c r="B6" s="13">
        <v>12</v>
      </c>
    </row>
    <row r="7" spans="1:2" x14ac:dyDescent="0.3">
      <c r="A7" s="11" t="s">
        <v>241</v>
      </c>
      <c r="B7" s="13">
        <v>112</v>
      </c>
    </row>
  </sheetData>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5AEB-C4AF-4ED4-845E-E4B737D862FB}">
  <dimension ref="A3:B7"/>
  <sheetViews>
    <sheetView topLeftCell="A2" workbookViewId="0">
      <selection activeCell="B5" sqref="B5"/>
    </sheetView>
  </sheetViews>
  <sheetFormatPr defaultRowHeight="13" x14ac:dyDescent="0.3"/>
  <cols>
    <col min="1" max="1" width="15.08984375" bestFit="1" customWidth="1"/>
    <col min="2" max="2" width="14.6328125" bestFit="1" customWidth="1"/>
  </cols>
  <sheetData>
    <row r="3" spans="1:2" x14ac:dyDescent="0.3">
      <c r="A3" s="10" t="s">
        <v>239</v>
      </c>
      <c r="B3" t="s">
        <v>253</v>
      </c>
    </row>
    <row r="4" spans="1:2" x14ac:dyDescent="0.3">
      <c r="A4" s="11" t="s">
        <v>242</v>
      </c>
      <c r="B4" s="13">
        <v>62</v>
      </c>
    </row>
    <row r="5" spans="1:2" x14ac:dyDescent="0.3">
      <c r="A5" s="11" t="s">
        <v>243</v>
      </c>
      <c r="B5" s="13">
        <v>18</v>
      </c>
    </row>
    <row r="6" spans="1:2" x14ac:dyDescent="0.3">
      <c r="A6" s="11" t="s">
        <v>244</v>
      </c>
      <c r="B6" s="13">
        <v>32</v>
      </c>
    </row>
    <row r="7" spans="1:2" x14ac:dyDescent="0.3">
      <c r="A7" s="11" t="s">
        <v>241</v>
      </c>
      <c r="B7" s="13">
        <v>112</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527C-B57C-409F-BA4A-175A8A0121C6}">
  <dimension ref="A3:A7"/>
  <sheetViews>
    <sheetView workbookViewId="0">
      <selection activeCell="A5" sqref="A4:A6"/>
      <pivotSelection pane="bottomRight" showHeader="1" activeRow="4" click="1" r:id="rId1">
        <pivotArea dataOnly="0" labelOnly="1" fieldPosition="0">
          <references count="1">
            <reference field="12" count="0"/>
          </references>
        </pivotArea>
      </pivotSelection>
    </sheetView>
  </sheetViews>
  <sheetFormatPr defaultRowHeight="13" x14ac:dyDescent="0.3"/>
  <cols>
    <col min="1" max="1" width="12.453125" bestFit="1" customWidth="1"/>
  </cols>
  <sheetData>
    <row r="3" spans="1:1" x14ac:dyDescent="0.3">
      <c r="A3" s="10" t="s">
        <v>239</v>
      </c>
    </row>
    <row r="4" spans="1:1" x14ac:dyDescent="0.3">
      <c r="A4" s="11" t="s">
        <v>238</v>
      </c>
    </row>
    <row r="5" spans="1:1" x14ac:dyDescent="0.3">
      <c r="A5" s="11" t="s">
        <v>251</v>
      </c>
    </row>
    <row r="6" spans="1:1" x14ac:dyDescent="0.3">
      <c r="A6" s="11" t="s">
        <v>252</v>
      </c>
    </row>
    <row r="7" spans="1:1" x14ac:dyDescent="0.3">
      <c r="A7" s="11" t="s">
        <v>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Dashboard</vt:lpstr>
      <vt:lpstr>Excel_jumia_Final</vt:lpstr>
      <vt:lpstr>ProductsRating</vt:lpstr>
      <vt:lpstr>Avrg Rating &amp; Discount</vt:lpstr>
      <vt:lpstr>Avrg price,rating&amp;Discount</vt:lpstr>
      <vt:lpstr>MaxMin </vt:lpstr>
      <vt:lpstr>DistributionAcrossRatingCtgry</vt:lpstr>
      <vt:lpstr>Sheet9</vt:lpstr>
      <vt:lpstr>Sheet10</vt:lpstr>
      <vt:lpstr>Sheet12</vt:lpstr>
      <vt:lpstr>Sheet13</vt:lpstr>
      <vt:lpstr>Sheet14</vt:lpstr>
      <vt:lpstr>Sheet15</vt:lpstr>
      <vt:lpstr>ProductsReview</vt:lpstr>
      <vt:lpstr>Rating vs Review</vt:lpstr>
      <vt:lpstr>Sheet23</vt:lpstr>
      <vt:lpstr>Product by Rating</vt:lpstr>
      <vt:lpstr>Sheet25</vt:lpstr>
      <vt:lpstr>Sheet20</vt:lpstr>
      <vt:lpstr>Sheet11</vt:lpstr>
      <vt:lpstr>ProductByDiscount</vt:lpstr>
      <vt:lpstr>ProductbyDiscountCategory</vt:lpstr>
      <vt:lpstr>Excel_jumia_Cleaned_Data</vt:lpstr>
      <vt:lpstr>No. of Products</vt:lpstr>
      <vt:lpstr>Avrg Rating</vt:lpstr>
      <vt:lpstr>Avrg Discount%</vt:lpstr>
      <vt:lpstr>No. of Reviews</vt:lpstr>
      <vt:lpstr>TopProdyctbyRating</vt:lpstr>
      <vt:lpstr>Top Product by review</vt:lpstr>
      <vt:lpstr>TopDiscountProduct</vt:lpstr>
      <vt:lpstr>Discount Vs Reviews</vt:lpstr>
      <vt:lpstr>Products by RatingCategory</vt:lpstr>
      <vt:lpstr>ProductsbyDiscountCaregory</vt:lpstr>
      <vt:lpstr>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Audrine M</cp:lastModifiedBy>
  <dcterms:created xsi:type="dcterms:W3CDTF">2026-03-18T08:13:05Z</dcterms:created>
  <dcterms:modified xsi:type="dcterms:W3CDTF">2026-03-26T15:01:57Z</dcterms:modified>
</cp:coreProperties>
</file>